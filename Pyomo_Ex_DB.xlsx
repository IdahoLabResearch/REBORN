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MAM\recell_interface\Andrew_EV_Optimization_Code\"/>
    </mc:Choice>
  </mc:AlternateContent>
  <xr:revisionPtr revIDLastSave="0" documentId="13_ncr:1_{D858F4F8-1109-4E89-AF57-3E15DE2DB3D7}" xr6:coauthVersionLast="47" xr6:coauthVersionMax="47" xr10:uidLastSave="{00000000-0000-0000-0000-000000000000}"/>
  <bookViews>
    <workbookView xWindow="-108" yWindow="-108" windowWidth="23256" windowHeight="12456" activeTab="1" xr2:uid="{C24FABAF-CE30-4318-A2C3-435E6C1690D4}"/>
  </bookViews>
  <sheets>
    <sheet name="Sheet1" sheetId="1" r:id="rId1"/>
    <sheet name="Final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P28" i="1"/>
</calcChain>
</file>

<file path=xl/sharedStrings.xml><?xml version="1.0" encoding="utf-8"?>
<sst xmlns="http://schemas.openxmlformats.org/spreadsheetml/2006/main" count="1513" uniqueCount="400">
  <si>
    <t>ID</t>
  </si>
  <si>
    <t>Status</t>
  </si>
  <si>
    <t>Company</t>
  </si>
  <si>
    <t>Facility Name</t>
  </si>
  <si>
    <t>Product/Facility Type</t>
  </si>
  <si>
    <t>Chemistries</t>
  </si>
  <si>
    <t>Feedstock</t>
  </si>
  <si>
    <t>Product</t>
  </si>
  <si>
    <t>Facility Address</t>
  </si>
  <si>
    <t>Facility City</t>
  </si>
  <si>
    <t>Facility State or Province</t>
  </si>
  <si>
    <t>Facility Country</t>
  </si>
  <si>
    <t>Facility Zip</t>
  </si>
  <si>
    <t>Latitude</t>
  </si>
  <si>
    <t>Longitude</t>
  </si>
  <si>
    <t>Capacity</t>
  </si>
  <si>
    <t>Capacity Units</t>
  </si>
  <si>
    <t>Commercial</t>
  </si>
  <si>
    <t>2ndLife Batteries.com</t>
  </si>
  <si>
    <t>Collection; Logistics; Repurposing</t>
  </si>
  <si>
    <t>All Li-ion</t>
  </si>
  <si>
    <t>End-of-life Battery</t>
  </si>
  <si>
    <t xml:space="preserve">Stationary Energy Storage Systems </t>
  </si>
  <si>
    <t>1562 Crittenden Rd.</t>
  </si>
  <si>
    <t>Alden</t>
  </si>
  <si>
    <t>NY</t>
  </si>
  <si>
    <t>US</t>
  </si>
  <si>
    <t xml:space="preserve">A3 Global </t>
  </si>
  <si>
    <t>Collection and Logistics</t>
  </si>
  <si>
    <t>Repair, remanufacture, refurbish and/or repurpose/reuse;</t>
  </si>
  <si>
    <t xml:space="preserve">300 Schell LN, Suite 309-310 </t>
  </si>
  <si>
    <t xml:space="preserve">Phoenixville </t>
  </si>
  <si>
    <t>PA</t>
  </si>
  <si>
    <t>19460</t>
  </si>
  <si>
    <t>Planned</t>
  </si>
  <si>
    <t>ACE Green Recycling</t>
  </si>
  <si>
    <t>ACE Green Recycling - Houston</t>
  </si>
  <si>
    <t>Hydrometallurgical recycling</t>
  </si>
  <si>
    <t>All chemistries</t>
  </si>
  <si>
    <t>Mixed metal intermediates - alloy/ salts/ sulfates/ mattes</t>
  </si>
  <si>
    <t>2700 Post Oak Blvd. Suite 2100</t>
  </si>
  <si>
    <t>Houston</t>
  </si>
  <si>
    <t>TX</t>
  </si>
  <si>
    <t>MT batteries/yr</t>
  </si>
  <si>
    <t>Battery recycling - hydro/ pyro/ direct</t>
  </si>
  <si>
    <t>Black Mass</t>
  </si>
  <si>
    <t xml:space="preserve">OH </t>
  </si>
  <si>
    <t>OH</t>
  </si>
  <si>
    <t>Aleon Renewable Metals</t>
  </si>
  <si>
    <t>Aleon Renewable Metals (ARM)</t>
  </si>
  <si>
    <t>Recycling</t>
  </si>
  <si>
    <t>Battery packs</t>
  </si>
  <si>
    <t>302 Midway Road</t>
  </si>
  <si>
    <t>Freeport</t>
  </si>
  <si>
    <t>Under construction</t>
  </si>
  <si>
    <t>American Battery Technology Company</t>
  </si>
  <si>
    <t>Fernley, NV</t>
  </si>
  <si>
    <t>Battery-grade lithium hydroxide</t>
  </si>
  <si>
    <t>395 Logan Ln</t>
  </si>
  <si>
    <t>Fernley</t>
  </si>
  <si>
    <t>NV</t>
  </si>
  <si>
    <t>MT/yr</t>
  </si>
  <si>
    <t>ABTC South Carolina</t>
  </si>
  <si>
    <t>Black Mass, Production Scrap</t>
  </si>
  <si>
    <t>Battery grade cathode materials</t>
  </si>
  <si>
    <t>TBD</t>
  </si>
  <si>
    <t>SC</t>
  </si>
  <si>
    <t>Aqua Metals LLC</t>
  </si>
  <si>
    <t xml:space="preserve">Aqua Metals Sierra ARC Campus </t>
  </si>
  <si>
    <t>Not specified</t>
  </si>
  <si>
    <t>5370 Kietzke Ln, Ste 201</t>
  </si>
  <si>
    <t>Reno</t>
  </si>
  <si>
    <t>Pre-commercial/ startup</t>
  </si>
  <si>
    <t>Aqua Metals Innovation Center</t>
  </si>
  <si>
    <t>160 Denmark Dr</t>
  </si>
  <si>
    <t>McCarran</t>
  </si>
  <si>
    <t>Ascend Elements</t>
  </si>
  <si>
    <t>Battery grade metal sulfates</t>
  </si>
  <si>
    <t>MA</t>
  </si>
  <si>
    <t>Hopkinsville</t>
  </si>
  <si>
    <t>KY</t>
  </si>
  <si>
    <t>GA</t>
  </si>
  <si>
    <t>Ascend Elements Kentucky</t>
  </si>
  <si>
    <t>Anode</t>
  </si>
  <si>
    <t>ATC Drivetrain</t>
  </si>
  <si>
    <t>ATC Drive Train</t>
  </si>
  <si>
    <t>4R's - Repair, Remanufacture, Refurbish and/or Repurpose</t>
  </si>
  <si>
    <t>Other</t>
  </si>
  <si>
    <t>9901 W Reno Ave</t>
  </si>
  <si>
    <t>Oklahoma City</t>
  </si>
  <si>
    <t>OK</t>
  </si>
  <si>
    <t>Austin Elements</t>
  </si>
  <si>
    <t>Proprietary</t>
  </si>
  <si>
    <t>4315 South Drive</t>
  </si>
  <si>
    <t>B2U Storage Solutions Inc</t>
  </si>
  <si>
    <t>SEPV Sierra</t>
  </si>
  <si>
    <t>Second Life Battery</t>
  </si>
  <si>
    <t>450 W. Ave. G</t>
  </si>
  <si>
    <t>Lancaster</t>
  </si>
  <si>
    <t>CA</t>
  </si>
  <si>
    <t>MWh installation</t>
  </si>
  <si>
    <t>Bamboo Charge</t>
  </si>
  <si>
    <t>Sorted End-of-life Battery</t>
  </si>
  <si>
    <t>1190 Saratoga Ave</t>
  </si>
  <si>
    <t>San Jose</t>
  </si>
  <si>
    <t>Battery M.D. Inc.</t>
  </si>
  <si>
    <t>EV/HEV Batteries</t>
  </si>
  <si>
    <t>5926 Patrol Rd</t>
  </si>
  <si>
    <t>Mc Clellan Park</t>
  </si>
  <si>
    <t>Battery Recyclers of America</t>
  </si>
  <si>
    <t>Collection, Disassembling and/ or Storage (Universal Waste Handlers)</t>
  </si>
  <si>
    <t>All LIB</t>
  </si>
  <si>
    <t>1920 McKinney Ave</t>
  </si>
  <si>
    <t>Dallas</t>
  </si>
  <si>
    <t>BBB Industries - Terrepower</t>
  </si>
  <si>
    <t>BBB Industries</t>
  </si>
  <si>
    <t>Recycling, Refurbishing</t>
  </si>
  <si>
    <t>EV Batteries</t>
  </si>
  <si>
    <t>Reuse/Repurpose Lithium Batteries for Solar Systems</t>
  </si>
  <si>
    <t>29627 Renaissance Blvd</t>
  </si>
  <si>
    <t>Daphne</t>
  </si>
  <si>
    <t>AL</t>
  </si>
  <si>
    <t>Consumer Electronics</t>
  </si>
  <si>
    <t>CO</t>
  </si>
  <si>
    <t>All</t>
  </si>
  <si>
    <t>Call2Recycle</t>
  </si>
  <si>
    <t>US HQ</t>
  </si>
  <si>
    <t>1000 Parkwood Circle</t>
  </si>
  <si>
    <t>Atlanta</t>
  </si>
  <si>
    <t>Canadian HQ</t>
  </si>
  <si>
    <t>5140 Yonge St, Suite 1570</t>
  </si>
  <si>
    <t>Toronto</t>
  </si>
  <si>
    <t>ON</t>
  </si>
  <si>
    <t>M2N6L7</t>
  </si>
  <si>
    <t>Car-Part.com</t>
  </si>
  <si>
    <t>EV/HEV/PHEV</t>
  </si>
  <si>
    <t>1980 Highland Pike</t>
  </si>
  <si>
    <t>Ft. Wright</t>
  </si>
  <si>
    <t>Cirba Solutions</t>
  </si>
  <si>
    <t>Recycling Facility</t>
  </si>
  <si>
    <t>Battery grade salts</t>
  </si>
  <si>
    <t>Columbia</t>
  </si>
  <si>
    <t>Charlotte</t>
  </si>
  <si>
    <t>NC</t>
  </si>
  <si>
    <t>Wixom</t>
  </si>
  <si>
    <t>4930 Holtz Dr</t>
  </si>
  <si>
    <t>MI</t>
  </si>
  <si>
    <t>Mesa</t>
  </si>
  <si>
    <t>618 E Auto Center Dr Ste111</t>
  </si>
  <si>
    <t>AZ</t>
  </si>
  <si>
    <t>Eloy</t>
  </si>
  <si>
    <t>HQ</t>
  </si>
  <si>
    <t>2115 Rexford Rd Suite 550</t>
  </si>
  <si>
    <t>UW Handling</t>
  </si>
  <si>
    <t>8090 Lancaster-Newark Rd NE</t>
  </si>
  <si>
    <t>Baltimore</t>
  </si>
  <si>
    <t>Anaheim</t>
  </si>
  <si>
    <t>1125 Beacon St.</t>
  </si>
  <si>
    <t>Brea</t>
  </si>
  <si>
    <t>Cathode Precursor</t>
  </si>
  <si>
    <t>Clarios</t>
  </si>
  <si>
    <t>Clarios South Carolina</t>
  </si>
  <si>
    <t>Production Scrap</t>
  </si>
  <si>
    <t>1024 Old Walhalla Highway</t>
  </si>
  <si>
    <t>West Union</t>
  </si>
  <si>
    <t>Clean Earth Inc.</t>
  </si>
  <si>
    <t>West Melbourne</t>
  </si>
  <si>
    <t xml:space="preserve">Pyrometallurgy recycling </t>
  </si>
  <si>
    <t>Mixed Alloy</t>
  </si>
  <si>
    <t>4317 J Fortune Place</t>
  </si>
  <si>
    <t>FL</t>
  </si>
  <si>
    <t>Mitchell Ave</t>
  </si>
  <si>
    <t>2591 Mitchell Ave</t>
  </si>
  <si>
    <t>Allentown</t>
  </si>
  <si>
    <t>Coherent Corp.</t>
  </si>
  <si>
    <t>SHARP Plant #1</t>
  </si>
  <si>
    <t>Precursor and Cathode Active Materials</t>
  </si>
  <si>
    <t xml:space="preserve">375 Saxonburg Blvd. </t>
  </si>
  <si>
    <t>Saxonburg</t>
  </si>
  <si>
    <t>16056-9499</t>
  </si>
  <si>
    <t>Cox Automotive  EV Battery Solutions</t>
  </si>
  <si>
    <t>EV Battery Solutions</t>
  </si>
  <si>
    <t>Repair, Remanufacturing repurposing</t>
  </si>
  <si>
    <t xml:space="preserve"> End-of-life Battery</t>
  </si>
  <si>
    <t>Battery Packs</t>
  </si>
  <si>
    <t>1500 SE 89th St</t>
  </si>
  <si>
    <t>73105</t>
  </si>
  <si>
    <t>35.37693</t>
  </si>
  <si>
    <t>-97.54272</t>
  </si>
  <si>
    <t>Cycling Batteries LLC.</t>
  </si>
  <si>
    <t>Ad Black</t>
  </si>
  <si>
    <t>Second Life Ebike Battery</t>
  </si>
  <si>
    <t>3 Wentworth Ct</t>
  </si>
  <si>
    <t>Chatham</t>
  </si>
  <si>
    <t>12037</t>
  </si>
  <si>
    <t>Donut Auto Parts</t>
  </si>
  <si>
    <t>Repurposing</t>
  </si>
  <si>
    <t>Battery Modules</t>
  </si>
  <si>
    <t>Repurposed batteries for EVs</t>
  </si>
  <si>
    <t>3784 Omec Cir #5</t>
  </si>
  <si>
    <t>Rancho Cordova</t>
  </si>
  <si>
    <t>T/yr</t>
  </si>
  <si>
    <t>Element Energy, Inc.</t>
  </si>
  <si>
    <t>3479 Edison Way</t>
  </si>
  <si>
    <t>Menlo Park</t>
  </si>
  <si>
    <t> 94025</t>
  </si>
  <si>
    <t> </t>
  </si>
  <si>
    <t>ExPost Technology</t>
  </si>
  <si>
    <t>San Diego</t>
  </si>
  <si>
    <t>Direct recycling</t>
  </si>
  <si>
    <t>Cathode</t>
  </si>
  <si>
    <t>9500 Gilman Dr</t>
  </si>
  <si>
    <t>92037</t>
  </si>
  <si>
    <t>Ontario</t>
  </si>
  <si>
    <t>Global Battery Solutions</t>
  </si>
  <si>
    <t>581 Ottawa Avenue, Suite 100</t>
  </si>
  <si>
    <t>Holland</t>
  </si>
  <si>
    <t xml:space="preserve">GlobalTech Environmental </t>
  </si>
  <si>
    <t>GlobalTech Environmental</t>
  </si>
  <si>
    <t>205 N Depot St</t>
  </si>
  <si>
    <t>Fox Lake</t>
  </si>
  <si>
    <t>WI</t>
  </si>
  <si>
    <t>Green Li-ion</t>
  </si>
  <si>
    <t>GLMC1</t>
  </si>
  <si>
    <t>Precursor Cathode Active Material, Graphite, Lithium carbonate</t>
  </si>
  <si>
    <t>Atoka</t>
  </si>
  <si>
    <t>MT Precursor cathode active material/yr</t>
  </si>
  <si>
    <t>Higher Wire Inc.</t>
  </si>
  <si>
    <t>Phoenix</t>
  </si>
  <si>
    <t>Lithium iron phosphate</t>
  </si>
  <si>
    <t>Second life battery</t>
  </si>
  <si>
    <t>1321 W McKinley St</t>
  </si>
  <si>
    <t>85007</t>
  </si>
  <si>
    <t>MWh/yr</t>
  </si>
  <si>
    <t>INMETCO</t>
  </si>
  <si>
    <t>One INMETCO Dr</t>
  </si>
  <si>
    <t>Ellwood City</t>
  </si>
  <si>
    <t>IT eCycling (ITeC) Solutions LLC</t>
  </si>
  <si>
    <t>IT eCycling Solutions</t>
  </si>
  <si>
    <t>1601 SE Tater Peeler Rd</t>
  </si>
  <si>
    <t>Lebanon</t>
  </si>
  <si>
    <t>TN</t>
  </si>
  <si>
    <t>Li Industries</t>
  </si>
  <si>
    <t>10021 Rodney St</t>
  </si>
  <si>
    <t>Pineville</t>
  </si>
  <si>
    <t>Mt/yr</t>
  </si>
  <si>
    <t>VA</t>
  </si>
  <si>
    <t>Li Industries, Inc</t>
  </si>
  <si>
    <t>Li Industries, Inc Ohio</t>
  </si>
  <si>
    <t>Kettering</t>
  </si>
  <si>
    <t xml:space="preserve">M&amp;M Auto Parts, Inc. </t>
  </si>
  <si>
    <t>Fredericksburg</t>
  </si>
  <si>
    <t>Refurbishing and Repurposing</t>
  </si>
  <si>
    <t>1351 Belman Road</t>
  </si>
  <si>
    <t>Stafford</t>
  </si>
  <si>
    <t>1489 Richmond Hwy</t>
  </si>
  <si>
    <t>Tidewater</t>
  </si>
  <si>
    <t>941-C Canal Drive</t>
  </si>
  <si>
    <t>Chesapeake</t>
  </si>
  <si>
    <t xml:space="preserve">Moment Energy </t>
  </si>
  <si>
    <t>Moment Energy</t>
  </si>
  <si>
    <t>Battery Energy Storage System</t>
  </si>
  <si>
    <t>Natural Ventures</t>
  </si>
  <si>
    <t>Metals</t>
  </si>
  <si>
    <t>2904 West 500 South</t>
  </si>
  <si>
    <t>Salt Lake City</t>
  </si>
  <si>
    <t>UT</t>
  </si>
  <si>
    <t>Natural Ventures - CO</t>
  </si>
  <si>
    <t>7071 Lowell Blvd</t>
  </si>
  <si>
    <t>Westminster</t>
  </si>
  <si>
    <t>Nethers Batteries</t>
  </si>
  <si>
    <t>1422 Ruddiman Dr.</t>
  </si>
  <si>
    <t>North Muskegon</t>
  </si>
  <si>
    <t>Nth Cycle Inc.</t>
  </si>
  <si>
    <t>NMC, LCO, NiMH</t>
  </si>
  <si>
    <t>Nickel hyroxide, Cobalt hydroxide, Lithium carbonate</t>
  </si>
  <si>
    <t>9530 Le Saint Dr</t>
  </si>
  <si>
    <t>Faifield</t>
  </si>
  <si>
    <t>Omega Harvested Metallurgical</t>
  </si>
  <si>
    <t>7515 Hill Road Canal</t>
  </si>
  <si>
    <t xml:space="preserve"> Winchester</t>
  </si>
  <si>
    <t>POEN America Inc</t>
  </si>
  <si>
    <t>POEN</t>
  </si>
  <si>
    <t xml:space="preserve">4801 Wilshire Blvd. Suite 260 </t>
  </si>
  <si>
    <t>Los Angeles</t>
  </si>
  <si>
    <t>Princeton NuEnergy</t>
  </si>
  <si>
    <t>1200 Florence Columbus Road</t>
  </si>
  <si>
    <t>Bordentown</t>
  </si>
  <si>
    <t>NJ</t>
  </si>
  <si>
    <t>Lithium-Ion Battery Direct Recycling Pilot Plant</t>
  </si>
  <si>
    <t xml:space="preserve">2101 Couch Dr. </t>
  </si>
  <si>
    <t>McKinney</t>
  </si>
  <si>
    <t>Radius Recycling</t>
  </si>
  <si>
    <t>299 SW Clay Street, suite 400</t>
  </si>
  <si>
    <t>Portland</t>
  </si>
  <si>
    <t>OR</t>
  </si>
  <si>
    <t>Recycling Coordinators, Inc.</t>
  </si>
  <si>
    <t>600  East Exchange St</t>
  </si>
  <si>
    <t>Akron </t>
  </si>
  <si>
    <t>Redivivus</t>
  </si>
  <si>
    <t>Collection, Neutralization; Disassembling and/ or Storage (Universal Waste Handlers)</t>
  </si>
  <si>
    <t>Neutralization; Logistics</t>
  </si>
  <si>
    <t>2012 North Cascade Avenue</t>
  </si>
  <si>
    <t>Colorado Springs</t>
  </si>
  <si>
    <t>Redwood Materials</t>
  </si>
  <si>
    <t>Redwood Materials - Tahoe Campus</t>
  </si>
  <si>
    <t>1201 Norway Dr</t>
  </si>
  <si>
    <t>MT cathode active materials</t>
  </si>
  <si>
    <t>Redwood Materials - McCarran</t>
  </si>
  <si>
    <t>Scrap copper wire</t>
  </si>
  <si>
    <t>Battery grade anode materials</t>
  </si>
  <si>
    <t>MT battery-grade copper foil</t>
  </si>
  <si>
    <t>Redwood Materials - TRIC</t>
  </si>
  <si>
    <t>515 Double Eagle Ct</t>
  </si>
  <si>
    <t>MT LIBs/yr</t>
  </si>
  <si>
    <t>Redwood Materials - SC</t>
  </si>
  <si>
    <t>114 Three Point Dr</t>
  </si>
  <si>
    <t>Ridgeville</t>
  </si>
  <si>
    <t>GWh cathode and anode materials</t>
  </si>
  <si>
    <t>Carson City</t>
  </si>
  <si>
    <t>Redwood Materials - Research and Product Development</t>
  </si>
  <si>
    <t>2800 Lockheed Way</t>
  </si>
  <si>
    <t>89706</t>
  </si>
  <si>
    <t>ReElement Technologies</t>
  </si>
  <si>
    <t>Noblesville Commercialization Facility</t>
  </si>
  <si>
    <t>Recycling, Recovery, Refining</t>
  </si>
  <si>
    <t>End-of-life Battery, Black mass</t>
  </si>
  <si>
    <t>Battery-grade material production (e.g., anode active material, battery-grade cobalt sulfate), Cathode battery grade materials, lithium carbonate, lithium hydroxide, Research and Development</t>
  </si>
  <si>
    <t>1716 Pleasant St</t>
  </si>
  <si>
    <t>Noblesville</t>
  </si>
  <si>
    <t>IN</t>
  </si>
  <si>
    <t>46060</t>
  </si>
  <si>
    <t>Rejoule Energy</t>
  </si>
  <si>
    <t>Energy Storage Systems</t>
  </si>
  <si>
    <t>2888 Gundry Ave</t>
  </si>
  <si>
    <t>Signal Hill</t>
  </si>
  <si>
    <t>Relyion</t>
  </si>
  <si>
    <t>Repurpose</t>
  </si>
  <si>
    <t>Lithium-Ion Batteries</t>
  </si>
  <si>
    <t>4989 Northdale Drive</t>
  </si>
  <si>
    <t>Fremont</t>
  </si>
  <si>
    <t>Robertson's Auto Salvage</t>
  </si>
  <si>
    <t>Repair/Recycle</t>
  </si>
  <si>
    <t>Electric Vehicles</t>
  </si>
  <si>
    <t>End-of-life EV batteries</t>
  </si>
  <si>
    <t>2680 Cranberry Hwy</t>
  </si>
  <si>
    <t>Wareham</t>
  </si>
  <si>
    <t>Samsar Resources</t>
  </si>
  <si>
    <t>Lithium Batteries</t>
  </si>
  <si>
    <t>12510 West Airport Blvd., Suite C02</t>
  </si>
  <si>
    <t>Sugar land</t>
  </si>
  <si>
    <t>Secure E-Waste Solutions</t>
  </si>
  <si>
    <t>8810 Rehco Rd, Suite C</t>
  </si>
  <si>
    <t>Smartville Inc.</t>
  </si>
  <si>
    <t>Smartville</t>
  </si>
  <si>
    <t>Lithium iron phosphate, Nickel manganese cobalt</t>
  </si>
  <si>
    <t>2227 Faraday Ave</t>
  </si>
  <si>
    <t>Carlsbad</t>
  </si>
  <si>
    <t>Spiers New Technologies (SNT)</t>
  </si>
  <si>
    <t>Spiers New Technologies</t>
  </si>
  <si>
    <t>SungEel HiTech Co., Ltd.</t>
  </si>
  <si>
    <t>SungEel Recycling Park</t>
  </si>
  <si>
    <t>Hayestone Brady Business Park</t>
  </si>
  <si>
    <t>Toccoa</t>
  </si>
  <si>
    <t>Sybesma’s Electronics</t>
  </si>
  <si>
    <t>581 Ottawa Ave # 100</t>
  </si>
  <si>
    <t>Umicore USA</t>
  </si>
  <si>
    <t>Recycling HQ</t>
  </si>
  <si>
    <t xml:space="preserve">Hydrometallurgical recycling and
Pyrometallurgy recycling </t>
  </si>
  <si>
    <t>3600 Glenwood Ave</t>
  </si>
  <si>
    <t>Raleigh</t>
  </si>
  <si>
    <t>Union Battery Dosposal, Inc</t>
  </si>
  <si>
    <t>Union Battery Disposal, Inc</t>
  </si>
  <si>
    <t>Recycling, E-Waste</t>
  </si>
  <si>
    <t>Lead Acid, NiCad &amp; NiMH, Lithium Ion, Alkaline</t>
  </si>
  <si>
    <t>5312 W Mission Blvd</t>
  </si>
  <si>
    <t>Veolia North America</t>
  </si>
  <si>
    <t>Veolia Phoenix Recycling Facility</t>
  </si>
  <si>
    <t>5736 West Jefferson</t>
  </si>
  <si>
    <t>Veolia Tallahassee Recycling Facility</t>
  </si>
  <si>
    <t>342 Marpan Lane</t>
  </si>
  <si>
    <t>Tallahassee</t>
  </si>
  <si>
    <t>Veolia West Bridgewater Recycling Facility</t>
  </si>
  <si>
    <t>90 Pleasant Street</t>
  </si>
  <si>
    <t>Bridgwater</t>
  </si>
  <si>
    <t>02379</t>
  </si>
  <si>
    <t>Veolia Port Washington Recycling Facility</t>
  </si>
  <si>
    <t>1275 Mineral Springs Dr</t>
  </si>
  <si>
    <t>Port Washington</t>
  </si>
  <si>
    <t>Logistics; Shipping Containers</t>
  </si>
  <si>
    <t>All Chemistries</t>
  </si>
  <si>
    <t>End-of-life Batteries</t>
  </si>
  <si>
    <t>53 State Street, 14th Floor</t>
  </si>
  <si>
    <t>Boston</t>
  </si>
  <si>
    <t>WeRecycleBatteries.com</t>
  </si>
  <si>
    <t>C</t>
  </si>
  <si>
    <t>P</t>
  </si>
  <si>
    <t>R</t>
  </si>
  <si>
    <t>Facilitiy Type</t>
  </si>
  <si>
    <t>Facility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</si>
</sst>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0000"/>
    <numFmt numFmtId="165" formatCode="[&lt;=9999999]###\-####;\(###\)\ ###\-####"/>
    <numFmt numFmtId="166" formatCode="0.00000"/>
    <numFmt numFmtId="167" formatCode="_(* #,##0_);_(* \(#,##0\);_(* &quot;-&quot;??_);_(@_)"/>
    <numFmt numFmtId="168" formatCode="0.0000"/>
    <numFmt numFmtId="169" formatCode="0.00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40C28"/>
      <name val="Arial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Aptos"/>
    </font>
    <font>
      <sz val="11"/>
      <color rgb="FF202124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7" fontId="2" fillId="0" borderId="0" xfId="1" applyNumberFormat="1" applyFont="1" applyFill="1" applyBorder="1" applyAlignment="1">
      <alignment wrapText="1"/>
    </xf>
    <xf numFmtId="1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horizontal="center" wrapText="1"/>
    </xf>
    <xf numFmtId="167" fontId="3" fillId="0" borderId="0" xfId="1" applyNumberFormat="1" applyFont="1" applyFill="1" applyBorder="1" applyAlignment="1">
      <alignment horizontal="center" wrapText="1"/>
    </xf>
    <xf numFmtId="167" fontId="3" fillId="0" borderId="0" xfId="1" applyNumberFormat="1" applyFont="1" applyFill="1" applyBorder="1" applyAlignment="1">
      <alignment wrapText="1"/>
    </xf>
    <xf numFmtId="1" fontId="3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1" applyNumberFormat="1" applyFont="1" applyFill="1" applyAlignment="1">
      <alignment horizontal="right"/>
    </xf>
    <xf numFmtId="0" fontId="6" fillId="0" borderId="0" xfId="0" applyFont="1"/>
    <xf numFmtId="1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right" wrapText="1"/>
    </xf>
    <xf numFmtId="166" fontId="3" fillId="2" borderId="0" xfId="0" applyNumberFormat="1" applyFont="1" applyFill="1" applyAlignment="1">
      <alignment horizontal="center" wrapText="1"/>
    </xf>
    <xf numFmtId="167" fontId="3" fillId="2" borderId="0" xfId="1" applyNumberFormat="1" applyFont="1" applyFill="1" applyBorder="1" applyAlignment="1">
      <alignment wrapText="1"/>
    </xf>
    <xf numFmtId="0" fontId="7" fillId="0" borderId="0" xfId="0" applyFont="1"/>
    <xf numFmtId="0" fontId="3" fillId="3" borderId="0" xfId="0" applyFont="1" applyFill="1" applyAlignment="1">
      <alignment horizontal="left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wrapText="1"/>
    </xf>
    <xf numFmtId="164" fontId="8" fillId="0" borderId="0" xfId="0" applyNumberFormat="1" applyFont="1" applyAlignment="1">
      <alignment horizontal="right" wrapText="1"/>
    </xf>
    <xf numFmtId="167" fontId="8" fillId="0" borderId="0" xfId="1" applyNumberFormat="1" applyFont="1" applyFill="1" applyBorder="1" applyAlignment="1">
      <alignment wrapText="1"/>
    </xf>
    <xf numFmtId="169" fontId="3" fillId="2" borderId="0" xfId="0" applyNumberFormat="1" applyFont="1" applyFill="1" applyAlignment="1">
      <alignment horizontal="center" wrapText="1"/>
    </xf>
    <xf numFmtId="0" fontId="9" fillId="0" borderId="0" xfId="0" applyFont="1"/>
    <xf numFmtId="0" fontId="10" fillId="0" borderId="0" xfId="0" applyFont="1"/>
    <xf numFmtId="166" fontId="3" fillId="0" borderId="0" xfId="0" applyNumberFormat="1" applyFont="1" applyAlignment="1">
      <alignment horizontal="center" wrapText="1"/>
    </xf>
    <xf numFmtId="0" fontId="0" fillId="0" borderId="0" xfId="0" quotePrefix="1"/>
    <xf numFmtId="0" fontId="12" fillId="0" borderId="0" xfId="0" applyFont="1"/>
    <xf numFmtId="167" fontId="3" fillId="0" borderId="0" xfId="0" applyNumberFormat="1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0" fillId="3" borderId="0" xfId="0" applyFill="1"/>
    <xf numFmtId="167" fontId="3" fillId="0" borderId="0" xfId="1" applyNumberFormat="1" applyFont="1" applyFill="1" applyAlignment="1">
      <alignment wrapText="1"/>
    </xf>
    <xf numFmtId="169" fontId="3" fillId="0" borderId="0" xfId="0" applyNumberFormat="1" applyFont="1" applyAlignment="1">
      <alignment horizontal="center" wrapText="1"/>
    </xf>
    <xf numFmtId="0" fontId="3" fillId="0" borderId="1" xfId="0" applyFont="1" applyBorder="1" applyAlignment="1">
      <alignment wrapText="1"/>
    </xf>
    <xf numFmtId="0" fontId="13" fillId="0" borderId="0" xfId="0" applyFont="1"/>
    <xf numFmtId="166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right" wrapText="1"/>
    </xf>
    <xf numFmtId="167" fontId="3" fillId="0" borderId="1" xfId="1" applyNumberFormat="1" applyFont="1" applyFill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0" fillId="0" borderId="4" xfId="0" applyBorder="1"/>
    <xf numFmtId="0" fontId="14" fillId="0" borderId="4" xfId="0" applyFont="1" applyBorder="1" applyAlignment="1">
      <alignment readingOrder="1"/>
    </xf>
    <xf numFmtId="0" fontId="3" fillId="3" borderId="4" xfId="0" applyFont="1" applyFill="1" applyBorder="1" applyAlignment="1">
      <alignment horizontal="left" wrapText="1"/>
    </xf>
    <xf numFmtId="167" fontId="3" fillId="0" borderId="0" xfId="1" applyNumberFormat="1" applyFont="1" applyFill="1" applyBorder="1" applyAlignment="1">
      <alignment horizontal="left" wrapText="1"/>
    </xf>
    <xf numFmtId="164" fontId="3" fillId="0" borderId="0" xfId="0" quotePrefix="1" applyNumberFormat="1" applyFont="1" applyAlignment="1">
      <alignment horizontal="right" wrapText="1"/>
    </xf>
    <xf numFmtId="167" fontId="3" fillId="0" borderId="0" xfId="1" applyNumberFormat="1" applyFont="1" applyBorder="1" applyAlignment="1">
      <alignment horizontal="center" wrapText="1"/>
    </xf>
    <xf numFmtId="167" fontId="3" fillId="0" borderId="0" xfId="1" applyNumberFormat="1" applyFont="1" applyBorder="1" applyAlignment="1">
      <alignment wrapText="1"/>
    </xf>
    <xf numFmtId="1" fontId="6" fillId="0" borderId="0" xfId="0" applyNumberFormat="1" applyFont="1" applyAlignment="1">
      <alignment wrapText="1"/>
    </xf>
    <xf numFmtId="165" fontId="6" fillId="0" borderId="0" xfId="0" applyNumberFormat="1" applyFont="1" applyAlignment="1">
      <alignment horizontal="center" wrapText="1"/>
    </xf>
    <xf numFmtId="167" fontId="6" fillId="0" borderId="0" xfId="1" applyNumberFormat="1" applyFont="1" applyBorder="1" applyAlignment="1">
      <alignment horizontal="center" wrapText="1"/>
    </xf>
    <xf numFmtId="167" fontId="6" fillId="0" borderId="0" xfId="1" applyNumberFormat="1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68" fontId="3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wrapText="1"/>
    </xf>
    <xf numFmtId="166" fontId="3" fillId="0" borderId="2" xfId="0" applyNumberFormat="1" applyFont="1" applyBorder="1" applyAlignment="1">
      <alignment horizontal="center" wrapText="1"/>
    </xf>
    <xf numFmtId="166" fontId="3" fillId="0" borderId="3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7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7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6" formatCode="0.000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0.00000"/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6" formatCode="0.000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0.00000"/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EC74D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7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7" formatCode="_(* #,##0_);_(* \(#,##0\);_(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6" formatCode="0.000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0.00000"/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6" formatCode="0.000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0.00000"/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00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0000"/>
      <fill>
        <patternFill patternType="solid">
          <fgColor indexed="64"/>
          <bgColor rgb="FFEC74D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EC74D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EC74D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rgb="FFEC74D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6EEE1-962F-4FFF-BB03-9EC9DBBABA28}" name="EOL_Tbl" displayName="EOL_Tbl" ref="A1:R85" totalsRowShown="0" headerRowDxfId="61" dataDxfId="60" totalsRowDxfId="59">
  <autoFilter ref="A1:R85" xr:uid="{7B76EEE1-962F-4FFF-BB03-9EC9DBBABA28}"/>
  <tableColumns count="18">
    <tableColumn id="1" xr3:uid="{A9C6B725-45C6-4968-80C6-23D3FD6F62E3}" name="ID" dataDxfId="58" totalsRowDxfId="57"/>
    <tableColumn id="23" xr3:uid="{2632DBF2-A50E-4DF3-A885-32522076238A}" name="Status" dataDxfId="56" totalsRowDxfId="55"/>
    <tableColumn id="29" xr3:uid="{58E7C35C-8914-4E37-BF14-64838F702DB8}" name="Company" dataDxfId="54" totalsRowDxfId="53"/>
    <tableColumn id="6" xr3:uid="{9FD9EB73-7CA6-4CF8-BBB4-496321DC6AE3}" name="Facility Name" dataDxfId="52" totalsRowDxfId="51"/>
    <tableColumn id="2" xr3:uid="{1F0C02D7-516E-49F2-975A-60A6F78E91DC}" name="Facilitiy Type" dataDxfId="50" totalsRowDxfId="49"/>
    <tableColumn id="16" xr3:uid="{60C91662-3CCE-4103-9DA6-8B5ADFBEFCC1}" name="Product/Facility Type" dataDxfId="48" totalsRowDxfId="47"/>
    <tableColumn id="33" xr3:uid="{D2843106-834C-4F5D-9865-950E3DAE76A5}" name="Chemistries" dataDxfId="46" totalsRowDxfId="45"/>
    <tableColumn id="17" xr3:uid="{287A0BA2-133C-444F-802E-8169BD93B80D}" name="Feedstock" dataDxfId="44" totalsRowDxfId="43"/>
    <tableColumn id="18" xr3:uid="{619F95A2-D94C-488E-B11A-382BCE8EB301}" name="Product" dataDxfId="42" totalsRowDxfId="41"/>
    <tableColumn id="7" xr3:uid="{852B098F-4F87-444B-AD5F-641694C7A343}" name="Facility Address" dataDxfId="40" totalsRowDxfId="39"/>
    <tableColumn id="8" xr3:uid="{0910B670-9C58-42D2-882C-1F24DB2137E5}" name="Facility City" dataDxfId="38" totalsRowDxfId="37"/>
    <tableColumn id="9" xr3:uid="{670F5DB8-B4AF-4125-BC1C-3222F4918726}" name="Facility State or Province" dataDxfId="36" totalsRowDxfId="35"/>
    <tableColumn id="10" xr3:uid="{3204DA14-0370-48A2-9791-07ACA613F14F}" name="Facility Country" dataDxfId="34" totalsRowDxfId="33"/>
    <tableColumn id="11" xr3:uid="{75110CBD-9E35-4A41-8E1E-57BCCE7E5B70}" name="Facility Zip" dataDxfId="32" totalsRowDxfId="31"/>
    <tableColumn id="38" xr3:uid="{E85C87EA-7F81-4B4A-B6BF-504FE83E1EB6}" name="Latitude" dataDxfId="30" totalsRowDxfId="29"/>
    <tableColumn id="39" xr3:uid="{3692663C-F8C9-4153-9275-69C2D809C6D8}" name="Longitude" dataDxfId="28" totalsRowDxfId="27"/>
    <tableColumn id="19" xr3:uid="{B78DB1B5-F6D3-487B-B3D1-32AFDE82D62C}" name="Capacity" dataDxfId="26" totalsRowDxfId="25" dataCellStyle="Comma"/>
    <tableColumn id="20" xr3:uid="{02B5943B-1DC2-4E58-A951-BEEE001751C0}" name="Capacity Units" dataDxfId="24" totalsRow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9C9980-0761-43F8-AE19-60D515DC0931}" name="EOL_Tbl3" displayName="EOL_Tbl3" ref="A1:I85" totalsRowShown="0" headerRowDxfId="22" dataDxfId="21" totalsRowDxfId="20">
  <autoFilter ref="A1:I85" xr:uid="{C69C9980-0761-43F8-AE19-60D515DC0931}"/>
  <tableColumns count="9">
    <tableColumn id="6" xr3:uid="{D3394A16-FB8E-4F30-BD29-EE14A292504E}" name="Facility Name" dataDxfId="19" totalsRowDxfId="18"/>
    <tableColumn id="2" xr3:uid="{EA49DC9F-EA92-4BCD-A08B-71328C26E7A5}" name="Facility Type" dataDxfId="17" totalsRowDxfId="16"/>
    <tableColumn id="8" xr3:uid="{03FEFC6F-D688-4DB9-877C-5AD0D059EFA9}" name="Facility City" dataDxfId="15" totalsRowDxfId="14"/>
    <tableColumn id="9" xr3:uid="{DCFC639C-0722-4B92-8979-13CE79C839CB}" name="Facility State or Province" dataDxfId="13" totalsRowDxfId="12"/>
    <tableColumn id="10" xr3:uid="{C94AA721-80B8-482F-8CCC-9097CF1B7868}" name="Facility Country" dataDxfId="11" totalsRowDxfId="10"/>
    <tableColumn id="38" xr3:uid="{16636B60-7CC4-4A4C-8271-987B54D568CF}" name="Latitude" dataDxfId="9" totalsRowDxfId="8"/>
    <tableColumn id="39" xr3:uid="{6F072652-96A5-44A8-BBC8-F109A4A3A767}" name="Longitude" dataDxfId="7" totalsRowDxfId="6"/>
    <tableColumn id="19" xr3:uid="{4227F028-2A72-4BAC-9B6B-D79399273322}" name="Capacity" dataDxfId="5" totalsRowDxfId="4" dataCellStyle="Comma"/>
    <tableColumn id="20" xr3:uid="{253767EB-2B8B-4F12-B34F-A2C8662E6E51}" name="Capacity Units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66B9-5558-477D-8ECA-68B7EE64565B}">
  <dimension ref="A1:S134"/>
  <sheetViews>
    <sheetView workbookViewId="0">
      <selection sqref="A1:XFD1048576"/>
    </sheetView>
  </sheetViews>
  <sheetFormatPr defaultRowHeight="14.4" x14ac:dyDescent="0.3"/>
  <cols>
    <col min="1" max="1" width="8.88671875" style="65"/>
    <col min="2" max="2" width="14" style="42" customWidth="1"/>
    <col min="3" max="3" width="15.44140625" style="8" customWidth="1"/>
    <col min="4" max="4" width="31" style="8" customWidth="1"/>
    <col min="5" max="5" width="31" style="6" customWidth="1"/>
    <col min="6" max="6" width="20.6640625" style="42" customWidth="1"/>
    <col min="7" max="7" width="12.33203125" style="42" customWidth="1"/>
    <col min="8" max="8" width="17.6640625" style="50" customWidth="1"/>
    <col min="9" max="9" width="17.33203125" style="50" customWidth="1"/>
    <col min="10" max="10" width="22.33203125" style="43" customWidth="1"/>
    <col min="11" max="11" width="23.6640625" style="8" customWidth="1"/>
    <col min="12" max="12" width="10.33203125" style="42" customWidth="1"/>
    <col min="13" max="13" width="10.44140625" style="42" customWidth="1"/>
    <col min="14" max="14" width="10.33203125" style="42" customWidth="1"/>
    <col min="15" max="15" width="14.33203125" style="66" customWidth="1"/>
    <col min="16" max="16" width="14.33203125" style="49" customWidth="1"/>
    <col min="17" max="17" width="10.33203125" style="67" customWidth="1"/>
    <col min="18" max="18" width="9.33203125" style="64"/>
    <col min="19" max="19" width="12.6640625" style="68" customWidth="1"/>
  </cols>
  <sheetData>
    <row r="1" spans="1:19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69" t="s">
        <v>398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73" t="s">
        <v>13</v>
      </c>
      <c r="P1" s="73" t="s">
        <v>14</v>
      </c>
      <c r="Q1" s="4" t="s">
        <v>15</v>
      </c>
      <c r="R1" s="2" t="s">
        <v>16</v>
      </c>
      <c r="S1"/>
    </row>
    <row r="2" spans="1:19" ht="28.8" x14ac:dyDescent="0.3">
      <c r="A2" s="5">
        <v>6001</v>
      </c>
      <c r="B2" s="6" t="s">
        <v>17</v>
      </c>
      <c r="C2" s="7" t="s">
        <v>18</v>
      </c>
      <c r="D2" s="6" t="s">
        <v>18</v>
      </c>
      <c r="E2" s="6" t="s">
        <v>395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6" t="s">
        <v>25</v>
      </c>
      <c r="M2" s="6" t="s">
        <v>26</v>
      </c>
      <c r="N2" s="9">
        <v>14004</v>
      </c>
      <c r="O2" s="38">
        <v>42.901737138978099</v>
      </c>
      <c r="P2" s="38">
        <v>-78.492432415745299</v>
      </c>
      <c r="Q2" s="12"/>
      <c r="R2" s="8"/>
      <c r="S2"/>
    </row>
    <row r="3" spans="1:19" ht="57.6" x14ac:dyDescent="0.3">
      <c r="A3" s="5">
        <v>6002</v>
      </c>
      <c r="B3" s="6" t="s">
        <v>17</v>
      </c>
      <c r="C3" s="7" t="s">
        <v>27</v>
      </c>
      <c r="D3" s="8" t="s">
        <v>27</v>
      </c>
      <c r="E3" s="6" t="s">
        <v>395</v>
      </c>
      <c r="F3" s="8" t="s">
        <v>28</v>
      </c>
      <c r="G3" s="8" t="s">
        <v>20</v>
      </c>
      <c r="H3" s="8" t="s">
        <v>21</v>
      </c>
      <c r="I3" s="8" t="s">
        <v>29</v>
      </c>
      <c r="J3" s="8" t="s">
        <v>30</v>
      </c>
      <c r="K3" s="8" t="s">
        <v>31</v>
      </c>
      <c r="L3" s="6" t="s">
        <v>32</v>
      </c>
      <c r="M3" s="6" t="s">
        <v>26</v>
      </c>
      <c r="N3" s="9" t="s">
        <v>33</v>
      </c>
      <c r="O3" s="38">
        <v>40.134000839783603</v>
      </c>
      <c r="P3" s="38">
        <v>-75.490977246160298</v>
      </c>
      <c r="Q3" s="12"/>
      <c r="R3" s="8"/>
      <c r="S3"/>
    </row>
    <row r="4" spans="1:19" ht="57.6" x14ac:dyDescent="0.3">
      <c r="A4" s="5">
        <v>6003</v>
      </c>
      <c r="B4" s="13" t="s">
        <v>34</v>
      </c>
      <c r="C4" s="7" t="s">
        <v>35</v>
      </c>
      <c r="D4" s="8" t="s">
        <v>36</v>
      </c>
      <c r="E4" s="6" t="s">
        <v>397</v>
      </c>
      <c r="F4" s="8" t="s">
        <v>37</v>
      </c>
      <c r="G4" s="8" t="s">
        <v>38</v>
      </c>
      <c r="H4" s="8" t="s">
        <v>21</v>
      </c>
      <c r="I4" s="8" t="s">
        <v>39</v>
      </c>
      <c r="J4" s="8" t="s">
        <v>40</v>
      </c>
      <c r="K4" s="8" t="s">
        <v>41</v>
      </c>
      <c r="L4" s="6" t="s">
        <v>42</v>
      </c>
      <c r="M4" s="6" t="s">
        <v>26</v>
      </c>
      <c r="N4" s="9">
        <v>77056</v>
      </c>
      <c r="O4" s="38">
        <v>29.738780228075999</v>
      </c>
      <c r="P4" s="38">
        <v>-95.46280047546</v>
      </c>
      <c r="Q4" s="12">
        <v>20000</v>
      </c>
      <c r="R4" s="8" t="s">
        <v>43</v>
      </c>
      <c r="S4"/>
    </row>
    <row r="5" spans="1:19" ht="28.8" x14ac:dyDescent="0.3">
      <c r="A5" s="5">
        <v>6005</v>
      </c>
      <c r="B5" s="6" t="s">
        <v>17</v>
      </c>
      <c r="C5" s="7" t="s">
        <v>48</v>
      </c>
      <c r="D5" s="7" t="s">
        <v>49</v>
      </c>
      <c r="E5" s="6" t="s">
        <v>397</v>
      </c>
      <c r="F5" s="7" t="s">
        <v>50</v>
      </c>
      <c r="G5" s="15" t="s">
        <v>20</v>
      </c>
      <c r="H5" s="16" t="s">
        <v>21</v>
      </c>
      <c r="I5" s="17" t="s">
        <v>51</v>
      </c>
      <c r="J5" s="7" t="s">
        <v>52</v>
      </c>
      <c r="K5" s="7" t="s">
        <v>53</v>
      </c>
      <c r="L5" s="18" t="s">
        <v>42</v>
      </c>
      <c r="M5" s="18" t="s">
        <v>26</v>
      </c>
      <c r="N5" s="18">
        <v>77542</v>
      </c>
      <c r="O5" s="74">
        <v>28.954994530350302</v>
      </c>
      <c r="P5" s="74">
        <v>-95.338342746992595</v>
      </c>
      <c r="Q5" s="19"/>
      <c r="R5" s="20"/>
      <c r="S5"/>
    </row>
    <row r="6" spans="1:19" ht="43.2" x14ac:dyDescent="0.3">
      <c r="A6" s="5">
        <v>6006</v>
      </c>
      <c r="B6" s="6" t="s">
        <v>54</v>
      </c>
      <c r="C6" s="7" t="s">
        <v>55</v>
      </c>
      <c r="D6" s="8" t="s">
        <v>56</v>
      </c>
      <c r="E6" s="6" t="s">
        <v>397</v>
      </c>
      <c r="F6" s="8" t="s">
        <v>37</v>
      </c>
      <c r="G6" s="8" t="s">
        <v>20</v>
      </c>
      <c r="H6" s="8" t="s">
        <v>21</v>
      </c>
      <c r="I6" s="8" t="s">
        <v>57</v>
      </c>
      <c r="J6" s="8" t="s">
        <v>58</v>
      </c>
      <c r="K6" s="8" t="s">
        <v>59</v>
      </c>
      <c r="L6" s="6" t="s">
        <v>60</v>
      </c>
      <c r="M6" s="6" t="s">
        <v>26</v>
      </c>
      <c r="N6" s="9">
        <v>89408</v>
      </c>
      <c r="O6" s="38">
        <v>39.612953370472098</v>
      </c>
      <c r="P6" s="38">
        <v>-119.25133227375601</v>
      </c>
      <c r="Q6" s="12">
        <v>20000</v>
      </c>
      <c r="R6" s="8" t="s">
        <v>61</v>
      </c>
      <c r="S6"/>
    </row>
    <row r="7" spans="1:19" ht="43.2" x14ac:dyDescent="0.3">
      <c r="A7" s="5">
        <v>6007</v>
      </c>
      <c r="B7" s="21" t="s">
        <v>34</v>
      </c>
      <c r="C7" s="23" t="s">
        <v>55</v>
      </c>
      <c r="D7" s="24" t="s">
        <v>62</v>
      </c>
      <c r="E7" s="22" t="s">
        <v>397</v>
      </c>
      <c r="F7" s="24" t="s">
        <v>37</v>
      </c>
      <c r="G7" s="24" t="s">
        <v>20</v>
      </c>
      <c r="H7" s="24" t="s">
        <v>63</v>
      </c>
      <c r="I7" s="24" t="s">
        <v>64</v>
      </c>
      <c r="J7" s="24" t="s">
        <v>65</v>
      </c>
      <c r="K7" s="24" t="s">
        <v>65</v>
      </c>
      <c r="L7" s="22" t="s">
        <v>66</v>
      </c>
      <c r="M7" s="22" t="s">
        <v>26</v>
      </c>
      <c r="N7" s="25"/>
      <c r="O7" s="26">
        <v>34.730730000000001</v>
      </c>
      <c r="P7" s="26">
        <v>-83.005750000000006</v>
      </c>
      <c r="Q7" s="27"/>
      <c r="R7" s="24"/>
      <c r="S7"/>
    </row>
    <row r="8" spans="1:19" ht="57.6" x14ac:dyDescent="0.3">
      <c r="A8" s="5">
        <v>6008</v>
      </c>
      <c r="B8" s="6" t="s">
        <v>54</v>
      </c>
      <c r="C8" s="7" t="s">
        <v>67</v>
      </c>
      <c r="D8" s="8" t="s">
        <v>68</v>
      </c>
      <c r="E8" s="6" t="s">
        <v>397</v>
      </c>
      <c r="F8" s="8" t="s">
        <v>44</v>
      </c>
      <c r="G8" s="8" t="s">
        <v>69</v>
      </c>
      <c r="H8" s="8" t="s">
        <v>21</v>
      </c>
      <c r="I8" s="8" t="s">
        <v>39</v>
      </c>
      <c r="J8" s="28" t="s">
        <v>70</v>
      </c>
      <c r="K8" s="8" t="s">
        <v>71</v>
      </c>
      <c r="L8" s="6" t="s">
        <v>60</v>
      </c>
      <c r="M8" s="6" t="s">
        <v>26</v>
      </c>
      <c r="N8" s="8">
        <v>89511</v>
      </c>
      <c r="O8" s="38">
        <v>39.470046808205602</v>
      </c>
      <c r="P8" s="38">
        <v>-119.790953497863</v>
      </c>
      <c r="Q8" s="12">
        <v>10000</v>
      </c>
      <c r="R8" s="8" t="s">
        <v>61</v>
      </c>
      <c r="S8"/>
    </row>
    <row r="9" spans="1:19" ht="57.6" x14ac:dyDescent="0.3">
      <c r="A9" s="5">
        <v>6009</v>
      </c>
      <c r="B9" s="13" t="s">
        <v>72</v>
      </c>
      <c r="C9" s="7" t="s">
        <v>67</v>
      </c>
      <c r="D9" s="8" t="s">
        <v>73</v>
      </c>
      <c r="E9" s="6" t="s">
        <v>397</v>
      </c>
      <c r="F9" s="8" t="s">
        <v>44</v>
      </c>
      <c r="G9" s="8" t="s">
        <v>69</v>
      </c>
      <c r="H9" s="8" t="s">
        <v>21</v>
      </c>
      <c r="I9" s="8" t="s">
        <v>39</v>
      </c>
      <c r="J9" s="8" t="s">
        <v>74</v>
      </c>
      <c r="K9" s="8" t="s">
        <v>75</v>
      </c>
      <c r="L9" s="6" t="s">
        <v>60</v>
      </c>
      <c r="M9" s="6" t="s">
        <v>26</v>
      </c>
      <c r="N9" s="9">
        <v>89434</v>
      </c>
      <c r="O9" s="38">
        <v>39.539508227934498</v>
      </c>
      <c r="P9" s="38">
        <v>-119.483385189104</v>
      </c>
      <c r="Q9" s="12">
        <v>75</v>
      </c>
      <c r="R9" s="8" t="s">
        <v>61</v>
      </c>
      <c r="S9"/>
    </row>
    <row r="10" spans="1:19" ht="28.8" x14ac:dyDescent="0.3">
      <c r="A10" s="5">
        <v>6013</v>
      </c>
      <c r="B10" s="21" t="s">
        <v>34</v>
      </c>
      <c r="C10" s="29" t="s">
        <v>76</v>
      </c>
      <c r="D10" s="24" t="s">
        <v>82</v>
      </c>
      <c r="E10" s="22" t="s">
        <v>397</v>
      </c>
      <c r="F10" s="24" t="s">
        <v>37</v>
      </c>
      <c r="G10" s="24" t="s">
        <v>20</v>
      </c>
      <c r="H10" s="24" t="s">
        <v>21</v>
      </c>
      <c r="I10" s="24" t="s">
        <v>83</v>
      </c>
      <c r="J10" s="24" t="s">
        <v>65</v>
      </c>
      <c r="K10" s="24" t="s">
        <v>79</v>
      </c>
      <c r="L10" s="22" t="s">
        <v>80</v>
      </c>
      <c r="M10" s="22" t="s">
        <v>26</v>
      </c>
      <c r="N10" s="25"/>
      <c r="O10" s="35">
        <v>36.865600999999998</v>
      </c>
      <c r="P10" s="35">
        <v>-87.488617000000005</v>
      </c>
      <c r="Q10" s="27"/>
      <c r="R10" s="24"/>
      <c r="S10"/>
    </row>
    <row r="11" spans="1:19" ht="57.6" x14ac:dyDescent="0.3">
      <c r="A11" s="5">
        <v>6014</v>
      </c>
      <c r="B11" s="6" t="s">
        <v>17</v>
      </c>
      <c r="C11" s="29" t="s">
        <v>84</v>
      </c>
      <c r="D11" s="8" t="s">
        <v>85</v>
      </c>
      <c r="E11" s="6" t="s">
        <v>396</v>
      </c>
      <c r="F11" s="8" t="s">
        <v>86</v>
      </c>
      <c r="G11" s="8" t="s">
        <v>69</v>
      </c>
      <c r="H11" s="8" t="s">
        <v>87</v>
      </c>
      <c r="I11" s="8" t="s">
        <v>87</v>
      </c>
      <c r="J11" s="8" t="s">
        <v>88</v>
      </c>
      <c r="K11" s="8" t="s">
        <v>89</v>
      </c>
      <c r="L11" s="6" t="s">
        <v>90</v>
      </c>
      <c r="M11" s="6" t="s">
        <v>26</v>
      </c>
      <c r="N11" s="9">
        <v>73127</v>
      </c>
      <c r="O11" s="38">
        <v>35.465759107942802</v>
      </c>
      <c r="P11" s="38">
        <v>-97.693208512339496</v>
      </c>
      <c r="Q11" s="12"/>
      <c r="R11" s="8"/>
      <c r="S11"/>
    </row>
    <row r="12" spans="1:19" ht="43.2" x14ac:dyDescent="0.3">
      <c r="A12" s="5">
        <v>6015</v>
      </c>
      <c r="B12" s="13" t="s">
        <v>72</v>
      </c>
      <c r="C12" s="29" t="s">
        <v>91</v>
      </c>
      <c r="D12" s="8" t="s">
        <v>91</v>
      </c>
      <c r="E12" s="6" t="s">
        <v>397</v>
      </c>
      <c r="F12" s="8" t="s">
        <v>92</v>
      </c>
      <c r="G12" s="8" t="s">
        <v>69</v>
      </c>
      <c r="H12" s="8" t="s">
        <v>87</v>
      </c>
      <c r="I12" s="8" t="s">
        <v>87</v>
      </c>
      <c r="J12" s="36" t="s">
        <v>93</v>
      </c>
      <c r="K12" s="8" t="s">
        <v>41</v>
      </c>
      <c r="L12" s="6" t="s">
        <v>42</v>
      </c>
      <c r="M12" s="6" t="s">
        <v>26</v>
      </c>
      <c r="N12" s="9">
        <v>77053</v>
      </c>
      <c r="O12" s="38">
        <v>29.585316065579399</v>
      </c>
      <c r="P12" s="38">
        <v>-95.444143061974003</v>
      </c>
      <c r="Q12" s="12"/>
      <c r="R12" s="8"/>
      <c r="S12"/>
    </row>
    <row r="13" spans="1:19" ht="57.6" x14ac:dyDescent="0.3">
      <c r="A13" s="5">
        <v>6016</v>
      </c>
      <c r="B13" s="6" t="s">
        <v>17</v>
      </c>
      <c r="C13" s="29" t="s">
        <v>94</v>
      </c>
      <c r="D13" s="8" t="s">
        <v>95</v>
      </c>
      <c r="E13" s="6" t="s">
        <v>396</v>
      </c>
      <c r="F13" s="8" t="s">
        <v>86</v>
      </c>
      <c r="G13" s="8" t="s">
        <v>69</v>
      </c>
      <c r="H13" s="8" t="s">
        <v>21</v>
      </c>
      <c r="I13" s="8" t="s">
        <v>96</v>
      </c>
      <c r="J13" s="8" t="s">
        <v>97</v>
      </c>
      <c r="K13" s="8" t="s">
        <v>98</v>
      </c>
      <c r="L13" s="6" t="s">
        <v>99</v>
      </c>
      <c r="M13" s="6" t="s">
        <v>26</v>
      </c>
      <c r="N13" s="9">
        <v>93536</v>
      </c>
      <c r="O13" s="38">
        <v>34.731621812618101</v>
      </c>
      <c r="P13" s="38">
        <v>-118.13617587550399</v>
      </c>
      <c r="Q13" s="12">
        <v>17</v>
      </c>
      <c r="R13" s="8" t="s">
        <v>100</v>
      </c>
      <c r="S13"/>
    </row>
    <row r="14" spans="1:19" ht="57.6" x14ac:dyDescent="0.3">
      <c r="A14" s="5">
        <v>6017</v>
      </c>
      <c r="B14" s="13" t="s">
        <v>17</v>
      </c>
      <c r="C14" s="37" t="s">
        <v>101</v>
      </c>
      <c r="D14" s="8" t="s">
        <v>101</v>
      </c>
      <c r="E14" s="6" t="s">
        <v>396</v>
      </c>
      <c r="F14" s="14" t="s">
        <v>86</v>
      </c>
      <c r="G14" s="8" t="s">
        <v>38</v>
      </c>
      <c r="H14" s="8" t="s">
        <v>21</v>
      </c>
      <c r="I14" s="8" t="s">
        <v>102</v>
      </c>
      <c r="J14" s="8" t="s">
        <v>103</v>
      </c>
      <c r="K14" s="6" t="s">
        <v>104</v>
      </c>
      <c r="L14" s="6" t="s">
        <v>99</v>
      </c>
      <c r="M14" s="6" t="s">
        <v>26</v>
      </c>
      <c r="N14" s="9">
        <v>95129</v>
      </c>
      <c r="O14" s="38">
        <v>37.303227919593397</v>
      </c>
      <c r="P14" s="75">
        <v>-121.979267744175</v>
      </c>
      <c r="Q14" s="12"/>
      <c r="R14" s="8"/>
      <c r="S14"/>
    </row>
    <row r="15" spans="1:19" ht="28.8" x14ac:dyDescent="0.3">
      <c r="A15" s="5">
        <v>6018</v>
      </c>
      <c r="B15" s="6" t="s">
        <v>17</v>
      </c>
      <c r="C15" s="7" t="s">
        <v>105</v>
      </c>
      <c r="D15" s="7" t="s">
        <v>105</v>
      </c>
      <c r="E15" s="6" t="s">
        <v>397</v>
      </c>
      <c r="F15"/>
      <c r="G15" s="8" t="s">
        <v>106</v>
      </c>
      <c r="H15" s="8" t="s">
        <v>21</v>
      </c>
      <c r="I15" s="8" t="s">
        <v>96</v>
      </c>
      <c r="J15" s="8" t="s">
        <v>107</v>
      </c>
      <c r="K15" s="8" t="s">
        <v>108</v>
      </c>
      <c r="L15" s="6" t="s">
        <v>99</v>
      </c>
      <c r="M15" s="6" t="s">
        <v>26</v>
      </c>
      <c r="N15" s="9">
        <v>95662</v>
      </c>
      <c r="O15" s="38">
        <v>38.672468377398197</v>
      </c>
      <c r="P15" s="38">
        <v>-121.41509570033</v>
      </c>
      <c r="Q15" s="12"/>
      <c r="R15" s="8"/>
      <c r="S15"/>
    </row>
    <row r="16" spans="1:19" ht="57.6" x14ac:dyDescent="0.3">
      <c r="A16" s="5">
        <v>6019</v>
      </c>
      <c r="B16" s="6" t="s">
        <v>17</v>
      </c>
      <c r="C16" s="7" t="s">
        <v>109</v>
      </c>
      <c r="D16" s="7" t="s">
        <v>109</v>
      </c>
      <c r="E16" s="6" t="s">
        <v>395</v>
      </c>
      <c r="F16" s="8" t="s">
        <v>110</v>
      </c>
      <c r="G16" s="8" t="s">
        <v>111</v>
      </c>
      <c r="H16" s="8" t="s">
        <v>21</v>
      </c>
      <c r="I16" s="8" t="s">
        <v>102</v>
      </c>
      <c r="J16" s="8" t="s">
        <v>112</v>
      </c>
      <c r="K16" s="8" t="s">
        <v>113</v>
      </c>
      <c r="L16" s="6" t="s">
        <v>42</v>
      </c>
      <c r="M16" s="6" t="s">
        <v>26</v>
      </c>
      <c r="N16" s="9">
        <v>75201</v>
      </c>
      <c r="O16" s="38">
        <v>32.790160158264896</v>
      </c>
      <c r="P16" s="38">
        <v>-96.803498673196302</v>
      </c>
      <c r="Q16" s="12"/>
      <c r="R16" s="8"/>
      <c r="S16"/>
    </row>
    <row r="17" spans="1:19" ht="43.2" x14ac:dyDescent="0.3">
      <c r="A17" s="5">
        <v>6020</v>
      </c>
      <c r="B17" s="13" t="s">
        <v>17</v>
      </c>
      <c r="C17" s="7" t="s">
        <v>114</v>
      </c>
      <c r="D17" s="8" t="s">
        <v>115</v>
      </c>
      <c r="E17" s="6" t="s">
        <v>397</v>
      </c>
      <c r="F17" s="8" t="s">
        <v>116</v>
      </c>
      <c r="G17" s="8" t="s">
        <v>117</v>
      </c>
      <c r="H17" s="8" t="s">
        <v>21</v>
      </c>
      <c r="I17" s="8" t="s">
        <v>118</v>
      </c>
      <c r="J17" s="8" t="s">
        <v>119</v>
      </c>
      <c r="K17" s="8" t="s">
        <v>120</v>
      </c>
      <c r="L17" s="6" t="s">
        <v>121</v>
      </c>
      <c r="M17" s="6" t="s">
        <v>26</v>
      </c>
      <c r="N17" s="9">
        <v>36526</v>
      </c>
      <c r="O17" s="38">
        <v>30.656690000000001</v>
      </c>
      <c r="P17" s="38">
        <v>-87.860029999999995</v>
      </c>
      <c r="Q17" s="12"/>
      <c r="R17" s="8"/>
      <c r="S17"/>
    </row>
    <row r="18" spans="1:19" x14ac:dyDescent="0.3">
      <c r="A18" s="5">
        <v>6023</v>
      </c>
      <c r="B18" s="6" t="s">
        <v>17</v>
      </c>
      <c r="C18" s="7" t="s">
        <v>125</v>
      </c>
      <c r="D18" s="8" t="s">
        <v>126</v>
      </c>
      <c r="E18" s="6" t="s">
        <v>395</v>
      </c>
      <c r="F18" s="8" t="s">
        <v>28</v>
      </c>
      <c r="G18" s="8" t="s">
        <v>69</v>
      </c>
      <c r="H18" s="8" t="s">
        <v>21</v>
      </c>
      <c r="I18" s="8" t="s">
        <v>21</v>
      </c>
      <c r="J18" s="8" t="s">
        <v>127</v>
      </c>
      <c r="K18" s="8" t="s">
        <v>128</v>
      </c>
      <c r="L18" s="6" t="s">
        <v>81</v>
      </c>
      <c r="M18" s="6" t="s">
        <v>26</v>
      </c>
      <c r="N18" s="9">
        <v>30339</v>
      </c>
      <c r="O18" s="38">
        <v>33.9022007212793</v>
      </c>
      <c r="P18" s="38">
        <v>-84.459543475760697</v>
      </c>
      <c r="Q18" s="12">
        <v>3838</v>
      </c>
      <c r="R18" s="8" t="s">
        <v>61</v>
      </c>
      <c r="S18"/>
    </row>
    <row r="19" spans="1:19" x14ac:dyDescent="0.3">
      <c r="A19" s="5">
        <v>6024</v>
      </c>
      <c r="B19" s="13" t="s">
        <v>17</v>
      </c>
      <c r="C19" s="7" t="s">
        <v>125</v>
      </c>
      <c r="D19" s="8" t="s">
        <v>129</v>
      </c>
      <c r="E19" s="6" t="s">
        <v>395</v>
      </c>
      <c r="F19" s="8" t="s">
        <v>28</v>
      </c>
      <c r="G19" s="8" t="s">
        <v>69</v>
      </c>
      <c r="H19" s="8" t="s">
        <v>21</v>
      </c>
      <c r="I19" s="8" t="s">
        <v>21</v>
      </c>
      <c r="J19" s="8" t="s">
        <v>130</v>
      </c>
      <c r="K19" s="8" t="s">
        <v>131</v>
      </c>
      <c r="L19" s="6" t="s">
        <v>132</v>
      </c>
      <c r="M19" s="6" t="s">
        <v>26</v>
      </c>
      <c r="N19" s="9" t="s">
        <v>133</v>
      </c>
      <c r="O19" s="38">
        <v>43.768562290512797</v>
      </c>
      <c r="P19" s="38">
        <v>-79.413193575451004</v>
      </c>
      <c r="Q19" s="12"/>
      <c r="R19" s="8"/>
      <c r="S19"/>
    </row>
    <row r="20" spans="1:19" ht="57.6" x14ac:dyDescent="0.3">
      <c r="A20" s="5">
        <v>6025</v>
      </c>
      <c r="B20" s="6" t="s">
        <v>17</v>
      </c>
      <c r="C20" s="7" t="s">
        <v>134</v>
      </c>
      <c r="D20" s="8" t="s">
        <v>134</v>
      </c>
      <c r="E20" s="6" t="s">
        <v>395</v>
      </c>
      <c r="F20" s="8" t="s">
        <v>110</v>
      </c>
      <c r="G20" s="8" t="s">
        <v>69</v>
      </c>
      <c r="H20" s="8" t="s">
        <v>135</v>
      </c>
      <c r="I20" s="8" t="s">
        <v>21</v>
      </c>
      <c r="J20" s="8" t="s">
        <v>136</v>
      </c>
      <c r="K20" s="8" t="s">
        <v>137</v>
      </c>
      <c r="L20" s="6" t="s">
        <v>80</v>
      </c>
      <c r="M20" s="6" t="s">
        <v>26</v>
      </c>
      <c r="N20" s="9">
        <v>41017</v>
      </c>
      <c r="O20" s="38">
        <v>39.037270244458703</v>
      </c>
      <c r="P20" s="38">
        <v>-84.534015677677999</v>
      </c>
      <c r="Q20" s="12"/>
      <c r="R20" s="8"/>
      <c r="S20"/>
    </row>
    <row r="21" spans="1:19" ht="28.8" x14ac:dyDescent="0.3">
      <c r="A21" s="5">
        <v>6026</v>
      </c>
      <c r="B21" s="13" t="s">
        <v>34</v>
      </c>
      <c r="C21" s="7" t="s">
        <v>138</v>
      </c>
      <c r="D21" s="8" t="s">
        <v>139</v>
      </c>
      <c r="E21" s="6" t="s">
        <v>397</v>
      </c>
      <c r="F21" s="8" t="s">
        <v>44</v>
      </c>
      <c r="G21" s="8" t="s">
        <v>69</v>
      </c>
      <c r="H21" s="8" t="s">
        <v>21</v>
      </c>
      <c r="I21" s="8" t="s">
        <v>140</v>
      </c>
      <c r="J21" s="8"/>
      <c r="K21" s="8" t="s">
        <v>141</v>
      </c>
      <c r="L21" s="6" t="s">
        <v>66</v>
      </c>
      <c r="M21" s="6" t="s">
        <v>26</v>
      </c>
      <c r="N21" s="9"/>
      <c r="O21" s="76">
        <v>34.016007000000002</v>
      </c>
      <c r="P21" s="38">
        <v>-81.017064000000005</v>
      </c>
      <c r="Q21" s="12"/>
      <c r="R21" s="8"/>
      <c r="S21"/>
    </row>
    <row r="22" spans="1:19" ht="57.6" x14ac:dyDescent="0.3">
      <c r="A22" s="5">
        <v>6027</v>
      </c>
      <c r="B22" s="13" t="s">
        <v>17</v>
      </c>
      <c r="C22" s="7" t="s">
        <v>138</v>
      </c>
      <c r="D22" s="8" t="s">
        <v>144</v>
      </c>
      <c r="E22" s="6" t="s">
        <v>395</v>
      </c>
      <c r="F22" s="8" t="s">
        <v>110</v>
      </c>
      <c r="G22" s="8" t="s">
        <v>69</v>
      </c>
      <c r="H22" s="8" t="s">
        <v>135</v>
      </c>
      <c r="I22" s="8" t="s">
        <v>21</v>
      </c>
      <c r="J22" s="8" t="s">
        <v>145</v>
      </c>
      <c r="K22" s="8" t="s">
        <v>144</v>
      </c>
      <c r="L22" s="6" t="s">
        <v>146</v>
      </c>
      <c r="M22" s="6" t="s">
        <v>26</v>
      </c>
      <c r="N22" s="9">
        <v>48393</v>
      </c>
      <c r="O22" s="38">
        <v>42.525225338876403</v>
      </c>
      <c r="P22" s="38">
        <v>-83.565064118477594</v>
      </c>
      <c r="Q22" s="12">
        <v>22680</v>
      </c>
      <c r="R22" s="8" t="s">
        <v>61</v>
      </c>
      <c r="S22"/>
    </row>
    <row r="23" spans="1:19" ht="57.6" x14ac:dyDescent="0.3">
      <c r="A23" s="5">
        <v>6029</v>
      </c>
      <c r="B23" s="6" t="s">
        <v>17</v>
      </c>
      <c r="C23" s="7" t="s">
        <v>138</v>
      </c>
      <c r="D23" s="8" t="s">
        <v>147</v>
      </c>
      <c r="E23" s="6" t="s">
        <v>395</v>
      </c>
      <c r="F23" s="8" t="s">
        <v>110</v>
      </c>
      <c r="G23" s="8" t="s">
        <v>69</v>
      </c>
      <c r="H23" s="8" t="s">
        <v>21</v>
      </c>
      <c r="I23" s="8" t="s">
        <v>102</v>
      </c>
      <c r="J23" s="8" t="s">
        <v>148</v>
      </c>
      <c r="K23" s="8" t="s">
        <v>147</v>
      </c>
      <c r="L23" s="6" t="s">
        <v>149</v>
      </c>
      <c r="M23" s="6" t="s">
        <v>26</v>
      </c>
      <c r="N23" s="9">
        <v>85204</v>
      </c>
      <c r="O23" s="38">
        <v>33.384092780152798</v>
      </c>
      <c r="P23" s="38">
        <v>-111.816832073686</v>
      </c>
      <c r="Q23" s="12"/>
      <c r="R23" s="8"/>
      <c r="S23"/>
    </row>
    <row r="24" spans="1:19" ht="57.6" x14ac:dyDescent="0.3">
      <c r="A24" s="5">
        <v>6030</v>
      </c>
      <c r="B24" s="6" t="s">
        <v>34</v>
      </c>
      <c r="C24" s="7" t="s">
        <v>138</v>
      </c>
      <c r="D24" s="8" t="s">
        <v>139</v>
      </c>
      <c r="E24" s="6" t="s">
        <v>397</v>
      </c>
      <c r="F24" s="8" t="s">
        <v>86</v>
      </c>
      <c r="G24" s="8" t="s">
        <v>69</v>
      </c>
      <c r="H24" s="8" t="s">
        <v>21</v>
      </c>
      <c r="I24" s="8" t="s">
        <v>96</v>
      </c>
      <c r="J24" s="8"/>
      <c r="K24" s="8" t="s">
        <v>150</v>
      </c>
      <c r="L24" s="6" t="s">
        <v>149</v>
      </c>
      <c r="M24" s="6" t="s">
        <v>26</v>
      </c>
      <c r="N24" s="9">
        <v>85128</v>
      </c>
      <c r="O24" s="77">
        <v>32.759399999999999</v>
      </c>
      <c r="P24" s="76">
        <v>-111.612522</v>
      </c>
      <c r="Q24" s="12"/>
      <c r="R24" s="8"/>
      <c r="S24"/>
    </row>
    <row r="25" spans="1:19" x14ac:dyDescent="0.3">
      <c r="A25" s="5">
        <v>6031</v>
      </c>
      <c r="B25" s="6" t="s">
        <v>17</v>
      </c>
      <c r="C25" s="7" t="s">
        <v>138</v>
      </c>
      <c r="D25" s="8" t="s">
        <v>151</v>
      </c>
      <c r="E25" s="6" t="s">
        <v>395</v>
      </c>
      <c r="F25" s="8" t="s">
        <v>28</v>
      </c>
      <c r="G25" s="8" t="s">
        <v>69</v>
      </c>
      <c r="H25" s="8" t="s">
        <v>21</v>
      </c>
      <c r="I25" s="8" t="s">
        <v>21</v>
      </c>
      <c r="J25" s="8" t="s">
        <v>152</v>
      </c>
      <c r="K25" s="8" t="s">
        <v>142</v>
      </c>
      <c r="L25" s="6" t="s">
        <v>143</v>
      </c>
      <c r="M25" s="6" t="s">
        <v>26</v>
      </c>
      <c r="N25" s="9">
        <v>28211</v>
      </c>
      <c r="O25" s="38">
        <v>35.158216716489598</v>
      </c>
      <c r="P25" s="38">
        <v>-80.830627746100603</v>
      </c>
      <c r="Q25" s="12"/>
      <c r="R25" s="8"/>
      <c r="S25"/>
    </row>
    <row r="26" spans="1:19" ht="57.6" x14ac:dyDescent="0.3">
      <c r="A26" s="5">
        <v>6032</v>
      </c>
      <c r="B26" s="6" t="s">
        <v>17</v>
      </c>
      <c r="C26" s="7" t="s">
        <v>138</v>
      </c>
      <c r="D26" s="8" t="s">
        <v>153</v>
      </c>
      <c r="E26" s="6" t="s">
        <v>395</v>
      </c>
      <c r="F26" s="8" t="s">
        <v>110</v>
      </c>
      <c r="G26" s="8" t="s">
        <v>111</v>
      </c>
      <c r="H26" s="8" t="s">
        <v>21</v>
      </c>
      <c r="I26" s="8" t="s">
        <v>102</v>
      </c>
      <c r="J26" s="8" t="s">
        <v>154</v>
      </c>
      <c r="K26" s="8" t="s">
        <v>155</v>
      </c>
      <c r="L26" s="6" t="s">
        <v>46</v>
      </c>
      <c r="M26" s="6" t="s">
        <v>26</v>
      </c>
      <c r="N26" s="9">
        <v>43105</v>
      </c>
      <c r="O26" s="38">
        <v>39.842530454816703</v>
      </c>
      <c r="P26" s="38">
        <v>-82.566701001721398</v>
      </c>
      <c r="Q26" s="12"/>
      <c r="R26" s="8"/>
      <c r="S26"/>
    </row>
    <row r="27" spans="1:19" ht="57.6" x14ac:dyDescent="0.3">
      <c r="A27" s="5">
        <v>6033</v>
      </c>
      <c r="B27" s="6" t="s">
        <v>17</v>
      </c>
      <c r="C27" s="7" t="s">
        <v>138</v>
      </c>
      <c r="D27" s="8" t="s">
        <v>156</v>
      </c>
      <c r="E27" s="6" t="s">
        <v>395</v>
      </c>
      <c r="F27" s="8" t="s">
        <v>110</v>
      </c>
      <c r="G27" s="8" t="s">
        <v>111</v>
      </c>
      <c r="H27" s="8" t="s">
        <v>21</v>
      </c>
      <c r="I27" s="8" t="s">
        <v>102</v>
      </c>
      <c r="J27" s="8" t="s">
        <v>157</v>
      </c>
      <c r="K27" s="8" t="s">
        <v>158</v>
      </c>
      <c r="L27" s="6" t="s">
        <v>99</v>
      </c>
      <c r="M27" s="6" t="s">
        <v>26</v>
      </c>
      <c r="N27" s="9">
        <v>92821</v>
      </c>
      <c r="O27" s="38">
        <v>33.853340229804999</v>
      </c>
      <c r="P27" s="38">
        <v>-117.91777579998499</v>
      </c>
      <c r="Q27" s="12"/>
      <c r="R27" s="8"/>
      <c r="S27"/>
    </row>
    <row r="28" spans="1:19" ht="28.8" x14ac:dyDescent="0.3">
      <c r="A28" s="5">
        <v>6037</v>
      </c>
      <c r="B28" s="13" t="s">
        <v>34</v>
      </c>
      <c r="C28" s="7" t="s">
        <v>160</v>
      </c>
      <c r="D28" s="8" t="s">
        <v>161</v>
      </c>
      <c r="E28" s="6" t="s">
        <v>397</v>
      </c>
      <c r="F28" s="8" t="s">
        <v>37</v>
      </c>
      <c r="G28" s="8" t="s">
        <v>20</v>
      </c>
      <c r="H28" s="8" t="s">
        <v>162</v>
      </c>
      <c r="I28" s="8" t="s">
        <v>64</v>
      </c>
      <c r="J28" s="8" t="s">
        <v>163</v>
      </c>
      <c r="K28" s="8" t="s">
        <v>164</v>
      </c>
      <c r="L28" s="6" t="s">
        <v>66</v>
      </c>
      <c r="M28" s="6" t="s">
        <v>26</v>
      </c>
      <c r="N28" s="9">
        <v>29696</v>
      </c>
      <c r="O28" s="38">
        <v>34.730730000000001</v>
      </c>
      <c r="P28" s="38">
        <f>-83.00575</f>
        <v>-83.005750000000006</v>
      </c>
      <c r="Q28" s="12"/>
      <c r="R28" s="8"/>
      <c r="S28"/>
    </row>
    <row r="29" spans="1:19" x14ac:dyDescent="0.3">
      <c r="A29" s="5">
        <v>6038</v>
      </c>
      <c r="B29" s="6" t="s">
        <v>17</v>
      </c>
      <c r="C29" s="7" t="s">
        <v>165</v>
      </c>
      <c r="D29" s="6" t="s">
        <v>166</v>
      </c>
      <c r="E29" s="6" t="s">
        <v>397</v>
      </c>
      <c r="F29" s="8" t="s">
        <v>167</v>
      </c>
      <c r="G29" s="8" t="s">
        <v>111</v>
      </c>
      <c r="H29" s="8" t="s">
        <v>21</v>
      </c>
      <c r="I29" s="8" t="s">
        <v>168</v>
      </c>
      <c r="J29" s="6" t="s">
        <v>169</v>
      </c>
      <c r="K29" s="8" t="s">
        <v>166</v>
      </c>
      <c r="L29" s="6" t="s">
        <v>170</v>
      </c>
      <c r="M29" s="6" t="s">
        <v>26</v>
      </c>
      <c r="N29" s="9">
        <v>32904</v>
      </c>
      <c r="O29" s="38">
        <v>28.094520276356501</v>
      </c>
      <c r="P29" s="38">
        <v>-80.698126073097498</v>
      </c>
      <c r="Q29" s="12">
        <v>15</v>
      </c>
      <c r="R29" s="8" t="s">
        <v>61</v>
      </c>
      <c r="S29"/>
    </row>
    <row r="30" spans="1:19" x14ac:dyDescent="0.3">
      <c r="A30" s="5">
        <v>6039</v>
      </c>
      <c r="B30" s="6" t="s">
        <v>17</v>
      </c>
      <c r="C30" s="7" t="s">
        <v>165</v>
      </c>
      <c r="D30" s="8" t="s">
        <v>171</v>
      </c>
      <c r="E30" s="6" t="s">
        <v>397</v>
      </c>
      <c r="F30" s="8" t="s">
        <v>167</v>
      </c>
      <c r="G30" s="8" t="s">
        <v>111</v>
      </c>
      <c r="H30" s="8" t="s">
        <v>21</v>
      </c>
      <c r="I30" s="8" t="s">
        <v>168</v>
      </c>
      <c r="J30" s="8" t="s">
        <v>172</v>
      </c>
      <c r="K30" s="8" t="s">
        <v>173</v>
      </c>
      <c r="L30" s="6" t="s">
        <v>32</v>
      </c>
      <c r="M30" s="6" t="s">
        <v>26</v>
      </c>
      <c r="N30" s="9">
        <v>18103</v>
      </c>
      <c r="O30" s="38">
        <v>40.567842729519597</v>
      </c>
      <c r="P30" s="38">
        <v>-75.479137301635703</v>
      </c>
      <c r="Q30" s="12">
        <v>5000</v>
      </c>
      <c r="R30" s="8" t="s">
        <v>61</v>
      </c>
      <c r="S30"/>
    </row>
    <row r="31" spans="1:19" ht="43.2" x14ac:dyDescent="0.3">
      <c r="A31" s="5">
        <v>6040</v>
      </c>
      <c r="B31" s="13" t="s">
        <v>72</v>
      </c>
      <c r="C31" t="s">
        <v>174</v>
      </c>
      <c r="D31" t="s">
        <v>175</v>
      </c>
      <c r="E31" s="70" t="s">
        <v>397</v>
      </c>
      <c r="F31" s="8" t="s">
        <v>37</v>
      </c>
      <c r="G31" s="8" t="s">
        <v>69</v>
      </c>
      <c r="H31" s="8" t="s">
        <v>45</v>
      </c>
      <c r="I31" s="8" t="s">
        <v>176</v>
      </c>
      <c r="J31" t="s">
        <v>177</v>
      </c>
      <c r="K31" t="s">
        <v>178</v>
      </c>
      <c r="L31" s="6" t="s">
        <v>32</v>
      </c>
      <c r="M31" s="6" t="s">
        <v>26</v>
      </c>
      <c r="N31" t="s">
        <v>179</v>
      </c>
      <c r="O31" s="38">
        <v>40.733310687596102</v>
      </c>
      <c r="P31" s="38">
        <v>-78.492432415745299</v>
      </c>
      <c r="Q31">
        <v>20000</v>
      </c>
      <c r="R31" s="8" t="s">
        <v>61</v>
      </c>
      <c r="S31"/>
    </row>
    <row r="32" spans="1:19" ht="43.2" x14ac:dyDescent="0.3">
      <c r="A32" s="5">
        <v>6041</v>
      </c>
      <c r="B32" s="13" t="s">
        <v>17</v>
      </c>
      <c r="C32" s="29" t="s">
        <v>180</v>
      </c>
      <c r="D32" s="40" t="s">
        <v>181</v>
      </c>
      <c r="E32" s="71" t="s">
        <v>397</v>
      </c>
      <c r="F32" s="8" t="s">
        <v>182</v>
      </c>
      <c r="G32" s="8" t="s">
        <v>38</v>
      </c>
      <c r="H32" s="8" t="s">
        <v>183</v>
      </c>
      <c r="I32" s="8" t="s">
        <v>184</v>
      </c>
      <c r="J32" s="8" t="s">
        <v>185</v>
      </c>
      <c r="K32" s="8" t="s">
        <v>89</v>
      </c>
      <c r="L32" s="6" t="s">
        <v>90</v>
      </c>
      <c r="M32" s="6" t="s">
        <v>26</v>
      </c>
      <c r="N32" s="9" t="s">
        <v>186</v>
      </c>
      <c r="O32" s="38" t="s">
        <v>187</v>
      </c>
      <c r="P32" s="72" t="s">
        <v>188</v>
      </c>
      <c r="Q32" s="41"/>
      <c r="R32" s="8"/>
      <c r="S32"/>
    </row>
    <row r="33" spans="1:19" ht="57.6" x14ac:dyDescent="0.3">
      <c r="A33" s="5">
        <v>6042</v>
      </c>
      <c r="B33" t="s">
        <v>72</v>
      </c>
      <c r="C33" t="s">
        <v>189</v>
      </c>
      <c r="D33" t="s">
        <v>190</v>
      </c>
      <c r="E33" s="70" t="s">
        <v>397</v>
      </c>
      <c r="F33" s="14" t="s">
        <v>86</v>
      </c>
      <c r="G33" s="8" t="s">
        <v>69</v>
      </c>
      <c r="H33" s="8" t="s">
        <v>21</v>
      </c>
      <c r="I33" s="14" t="s">
        <v>191</v>
      </c>
      <c r="J33" t="s">
        <v>192</v>
      </c>
      <c r="K33" s="8" t="s">
        <v>193</v>
      </c>
      <c r="L33" t="s">
        <v>25</v>
      </c>
      <c r="M33" s="6" t="s">
        <v>26</v>
      </c>
      <c r="N33" s="39" t="s">
        <v>194</v>
      </c>
      <c r="O33" s="38">
        <v>42.362851496616798</v>
      </c>
      <c r="P33" s="38">
        <v>-73.593980630681102</v>
      </c>
      <c r="Q33" s="12"/>
      <c r="R33" s="8"/>
      <c r="S33"/>
    </row>
    <row r="34" spans="1:19" ht="15.6" x14ac:dyDescent="0.3">
      <c r="A34" s="5">
        <v>6044</v>
      </c>
      <c r="B34" s="6" t="s">
        <v>17</v>
      </c>
      <c r="C34" s="7" t="s">
        <v>195</v>
      </c>
      <c r="D34" s="7" t="s">
        <v>195</v>
      </c>
      <c r="E34" s="6" t="s">
        <v>396</v>
      </c>
      <c r="F34" s="7" t="s">
        <v>196</v>
      </c>
      <c r="G34" s="15" t="s">
        <v>20</v>
      </c>
      <c r="H34" s="16" t="s">
        <v>197</v>
      </c>
      <c r="I34" s="17" t="s">
        <v>198</v>
      </c>
      <c r="J34" s="7" t="s">
        <v>199</v>
      </c>
      <c r="K34" s="7" t="s">
        <v>200</v>
      </c>
      <c r="L34" s="18" t="s">
        <v>99</v>
      </c>
      <c r="M34" s="18" t="s">
        <v>26</v>
      </c>
      <c r="N34" s="18">
        <v>95742</v>
      </c>
      <c r="O34" s="74">
        <v>38.568390000000001</v>
      </c>
      <c r="P34" s="74">
        <v>-121.2556</v>
      </c>
      <c r="Q34" s="19"/>
      <c r="R34" s="20"/>
      <c r="S34"/>
    </row>
    <row r="35" spans="1:19" ht="57.6" x14ac:dyDescent="0.3">
      <c r="A35" s="5">
        <v>6048</v>
      </c>
      <c r="B35" s="13" t="s">
        <v>17</v>
      </c>
      <c r="C35" s="7" t="s">
        <v>202</v>
      </c>
      <c r="D35" s="8" t="s">
        <v>202</v>
      </c>
      <c r="E35" s="6" t="s">
        <v>396</v>
      </c>
      <c r="F35" s="8" t="s">
        <v>86</v>
      </c>
      <c r="G35" s="8" t="s">
        <v>69</v>
      </c>
      <c r="H35" s="8" t="s">
        <v>21</v>
      </c>
      <c r="I35" s="8" t="s">
        <v>96</v>
      </c>
      <c r="J35" s="8" t="s">
        <v>203</v>
      </c>
      <c r="K35" s="8" t="s">
        <v>204</v>
      </c>
      <c r="L35" s="6" t="s">
        <v>99</v>
      </c>
      <c r="M35" s="6" t="s">
        <v>26</v>
      </c>
      <c r="N35" s="6" t="s">
        <v>205</v>
      </c>
      <c r="O35" s="38">
        <v>37.47</v>
      </c>
      <c r="P35" s="38">
        <v>-122.19</v>
      </c>
      <c r="Q35" s="12" t="s">
        <v>206</v>
      </c>
      <c r="R35" s="8" t="s">
        <v>206</v>
      </c>
      <c r="S35"/>
    </row>
    <row r="36" spans="1:19" ht="43.2" x14ac:dyDescent="0.3">
      <c r="A36" s="5">
        <v>6050</v>
      </c>
      <c r="B36" s="13" t="s">
        <v>72</v>
      </c>
      <c r="C36" s="44" t="s">
        <v>207</v>
      </c>
      <c r="D36" t="s">
        <v>208</v>
      </c>
      <c r="E36" s="70" t="s">
        <v>397</v>
      </c>
      <c r="F36" t="s">
        <v>209</v>
      </c>
      <c r="G36" s="8" t="s">
        <v>20</v>
      </c>
      <c r="H36" s="8" t="s">
        <v>45</v>
      </c>
      <c r="I36" s="8" t="s">
        <v>210</v>
      </c>
      <c r="J36" t="s">
        <v>211</v>
      </c>
      <c r="K36" s="8" t="s">
        <v>208</v>
      </c>
      <c r="L36" s="6" t="s">
        <v>99</v>
      </c>
      <c r="M36" s="6" t="s">
        <v>26</v>
      </c>
      <c r="N36" s="39" t="s">
        <v>212</v>
      </c>
      <c r="O36" s="38">
        <v>32.875449971898803</v>
      </c>
      <c r="P36" s="38">
        <v>-117.240929831206</v>
      </c>
      <c r="Q36" s="45"/>
      <c r="R36" s="8"/>
      <c r="S36"/>
    </row>
    <row r="37" spans="1:19" ht="57.6" x14ac:dyDescent="0.3">
      <c r="A37" s="5">
        <v>6054</v>
      </c>
      <c r="B37" s="6" t="s">
        <v>17</v>
      </c>
      <c r="C37" s="29" t="s">
        <v>214</v>
      </c>
      <c r="D37" s="8" t="s">
        <v>214</v>
      </c>
      <c r="E37" s="6" t="s">
        <v>395</v>
      </c>
      <c r="F37" s="8" t="s">
        <v>110</v>
      </c>
      <c r="G37" s="8" t="s">
        <v>69</v>
      </c>
      <c r="H37" s="8" t="s">
        <v>21</v>
      </c>
      <c r="I37" s="8" t="s">
        <v>102</v>
      </c>
      <c r="J37" s="7" t="s">
        <v>215</v>
      </c>
      <c r="K37" s="7" t="s">
        <v>216</v>
      </c>
      <c r="L37" s="6" t="s">
        <v>146</v>
      </c>
      <c r="M37" s="6" t="s">
        <v>26</v>
      </c>
      <c r="N37" s="9">
        <v>49423</v>
      </c>
      <c r="O37" s="38">
        <v>42.775371100138599</v>
      </c>
      <c r="P37" s="38">
        <v>-86.125653649423995</v>
      </c>
      <c r="Q37" s="12"/>
      <c r="R37" s="8"/>
      <c r="S37"/>
    </row>
    <row r="38" spans="1:19" ht="57.6" x14ac:dyDescent="0.3">
      <c r="A38" s="5">
        <v>6055</v>
      </c>
      <c r="B38" s="6" t="s">
        <v>17</v>
      </c>
      <c r="C38" s="29" t="s">
        <v>214</v>
      </c>
      <c r="D38" s="8" t="s">
        <v>214</v>
      </c>
      <c r="E38" s="6" t="s">
        <v>396</v>
      </c>
      <c r="F38" s="8" t="s">
        <v>86</v>
      </c>
      <c r="G38" s="8" t="s">
        <v>69</v>
      </c>
      <c r="H38" s="8" t="s">
        <v>21</v>
      </c>
      <c r="I38" s="8" t="s">
        <v>96</v>
      </c>
      <c r="J38" s="7" t="s">
        <v>215</v>
      </c>
      <c r="K38" s="7" t="s">
        <v>216</v>
      </c>
      <c r="L38" s="6" t="s">
        <v>146</v>
      </c>
      <c r="M38" s="6" t="s">
        <v>26</v>
      </c>
      <c r="N38" s="9">
        <v>49423</v>
      </c>
      <c r="O38" s="38">
        <v>42.775371100138599</v>
      </c>
      <c r="P38" s="38">
        <v>-86.125653649423995</v>
      </c>
      <c r="Q38" s="12"/>
      <c r="R38" s="8"/>
      <c r="S38"/>
    </row>
    <row r="39" spans="1:19" ht="57.6" x14ac:dyDescent="0.3">
      <c r="A39" s="5">
        <v>6056</v>
      </c>
      <c r="B39" s="6" t="s">
        <v>17</v>
      </c>
      <c r="C39" s="7" t="s">
        <v>217</v>
      </c>
      <c r="D39" s="8" t="s">
        <v>218</v>
      </c>
      <c r="E39" s="6" t="s">
        <v>395</v>
      </c>
      <c r="F39" s="8" t="s">
        <v>110</v>
      </c>
      <c r="G39" s="8" t="s">
        <v>69</v>
      </c>
      <c r="H39" s="8" t="s">
        <v>21</v>
      </c>
      <c r="I39" s="8" t="s">
        <v>21</v>
      </c>
      <c r="J39" s="8" t="s">
        <v>219</v>
      </c>
      <c r="K39" s="8" t="s">
        <v>220</v>
      </c>
      <c r="L39" s="6" t="s">
        <v>221</v>
      </c>
      <c r="M39" s="6" t="s">
        <v>26</v>
      </c>
      <c r="N39" s="9">
        <v>53933</v>
      </c>
      <c r="O39" s="38">
        <v>43.567670442419399</v>
      </c>
      <c r="P39" s="38">
        <v>-88.905624857455905</v>
      </c>
      <c r="Q39" s="12"/>
      <c r="R39" s="8"/>
      <c r="S39"/>
    </row>
    <row r="40" spans="1:19" ht="86.4" x14ac:dyDescent="0.3">
      <c r="A40" s="5">
        <v>6057</v>
      </c>
      <c r="B40" s="13" t="s">
        <v>54</v>
      </c>
      <c r="C40" s="7" t="s">
        <v>222</v>
      </c>
      <c r="D40" s="8" t="s">
        <v>223</v>
      </c>
      <c r="E40" s="6" t="s">
        <v>397</v>
      </c>
      <c r="F40" s="8" t="s">
        <v>37</v>
      </c>
      <c r="G40" s="8" t="s">
        <v>38</v>
      </c>
      <c r="H40" s="8" t="s">
        <v>45</v>
      </c>
      <c r="I40" s="8" t="s">
        <v>224</v>
      </c>
      <c r="J40" s="8"/>
      <c r="K40" s="8" t="s">
        <v>225</v>
      </c>
      <c r="L40" s="6" t="s">
        <v>90</v>
      </c>
      <c r="M40" s="6" t="s">
        <v>26</v>
      </c>
      <c r="N40" s="9">
        <v>74525</v>
      </c>
      <c r="O40" s="38">
        <v>34.388122106774397</v>
      </c>
      <c r="P40" s="38">
        <v>-96.126598483683395</v>
      </c>
      <c r="Q40" s="12">
        <v>1100</v>
      </c>
      <c r="R40" s="8" t="s">
        <v>226</v>
      </c>
      <c r="S40"/>
    </row>
    <row r="41" spans="1:19" ht="57.6" x14ac:dyDescent="0.3">
      <c r="A41" s="5">
        <v>6058</v>
      </c>
      <c r="B41" s="13" t="s">
        <v>17</v>
      </c>
      <c r="C41" t="s">
        <v>227</v>
      </c>
      <c r="D41" t="s">
        <v>228</v>
      </c>
      <c r="E41" s="70" t="s">
        <v>396</v>
      </c>
      <c r="F41" s="14" t="s">
        <v>86</v>
      </c>
      <c r="G41" s="8" t="s">
        <v>229</v>
      </c>
      <c r="H41" s="8" t="s">
        <v>21</v>
      </c>
      <c r="I41" t="s">
        <v>230</v>
      </c>
      <c r="J41" t="s">
        <v>231</v>
      </c>
      <c r="K41" s="8" t="s">
        <v>228</v>
      </c>
      <c r="L41" s="6" t="s">
        <v>149</v>
      </c>
      <c r="M41" s="6" t="s">
        <v>26</v>
      </c>
      <c r="N41" s="39" t="s">
        <v>232</v>
      </c>
      <c r="O41" s="38">
        <v>33.4571044561063</v>
      </c>
      <c r="P41" s="38">
        <v>-112.090003653978</v>
      </c>
      <c r="Q41">
        <v>1.5</v>
      </c>
      <c r="R41" s="8" t="s">
        <v>233</v>
      </c>
      <c r="S41"/>
    </row>
    <row r="42" spans="1:19" ht="57.6" x14ac:dyDescent="0.3">
      <c r="A42" s="5">
        <v>6059</v>
      </c>
      <c r="B42" s="6" t="s">
        <v>17</v>
      </c>
      <c r="C42" s="7" t="s">
        <v>234</v>
      </c>
      <c r="D42" s="8" t="s">
        <v>234</v>
      </c>
      <c r="E42" s="6" t="s">
        <v>397</v>
      </c>
      <c r="F42" s="8" t="s">
        <v>167</v>
      </c>
      <c r="G42" s="8" t="s">
        <v>69</v>
      </c>
      <c r="H42" s="8" t="s">
        <v>21</v>
      </c>
      <c r="I42" s="8" t="s">
        <v>39</v>
      </c>
      <c r="J42" s="8" t="s">
        <v>235</v>
      </c>
      <c r="K42" s="8" t="s">
        <v>236</v>
      </c>
      <c r="L42" s="6" t="s">
        <v>32</v>
      </c>
      <c r="M42" s="6" t="s">
        <v>26</v>
      </c>
      <c r="N42" s="9">
        <v>16117</v>
      </c>
      <c r="O42" s="38">
        <v>40.859399737039098</v>
      </c>
      <c r="P42" s="38">
        <v>-80.274877728835307</v>
      </c>
      <c r="Q42" s="12">
        <v>10000</v>
      </c>
      <c r="R42" s="8" t="s">
        <v>61</v>
      </c>
      <c r="S42"/>
    </row>
    <row r="43" spans="1:19" ht="28.8" x14ac:dyDescent="0.3">
      <c r="A43" s="5">
        <v>6063</v>
      </c>
      <c r="B43" s="6" t="s">
        <v>17</v>
      </c>
      <c r="C43" s="7" t="s">
        <v>237</v>
      </c>
      <c r="D43" s="8" t="s">
        <v>238</v>
      </c>
      <c r="E43" s="6" t="s">
        <v>395</v>
      </c>
      <c r="F43" s="8" t="s">
        <v>28</v>
      </c>
      <c r="G43" s="8" t="s">
        <v>69</v>
      </c>
      <c r="H43" s="8" t="s">
        <v>21</v>
      </c>
      <c r="I43" s="8" t="s">
        <v>21</v>
      </c>
      <c r="J43" s="8" t="s">
        <v>239</v>
      </c>
      <c r="K43" s="8" t="s">
        <v>240</v>
      </c>
      <c r="L43" s="6" t="s">
        <v>241</v>
      </c>
      <c r="M43" s="6" t="s">
        <v>26</v>
      </c>
      <c r="N43" s="9">
        <v>37090</v>
      </c>
      <c r="O43" s="38">
        <v>36.179655200125303</v>
      </c>
      <c r="P43" s="38">
        <v>-86.289353358501501</v>
      </c>
      <c r="Q43" s="12"/>
      <c r="R43" s="8"/>
      <c r="S43"/>
    </row>
    <row r="44" spans="1:19" ht="28.8" x14ac:dyDescent="0.3">
      <c r="A44" s="5">
        <v>6065</v>
      </c>
      <c r="B44" s="13" t="s">
        <v>54</v>
      </c>
      <c r="C44" s="29" t="s">
        <v>242</v>
      </c>
      <c r="D44" s="8" t="s">
        <v>242</v>
      </c>
      <c r="E44" s="6" t="s">
        <v>397</v>
      </c>
      <c r="F44" s="8" t="s">
        <v>209</v>
      </c>
      <c r="G44" s="8" t="s">
        <v>69</v>
      </c>
      <c r="H44" s="8" t="s">
        <v>21</v>
      </c>
      <c r="I44" s="8" t="s">
        <v>159</v>
      </c>
      <c r="J44" s="8" t="s">
        <v>65</v>
      </c>
      <c r="K44" s="8" t="s">
        <v>142</v>
      </c>
      <c r="L44" s="6" t="s">
        <v>143</v>
      </c>
      <c r="M44" s="6" t="s">
        <v>26</v>
      </c>
      <c r="N44" s="9" t="s">
        <v>65</v>
      </c>
      <c r="O44" s="38">
        <v>35.2254814318052</v>
      </c>
      <c r="P44" s="38">
        <v>-80.841901610186198</v>
      </c>
      <c r="Q44" s="12">
        <v>10000</v>
      </c>
      <c r="R44" s="8" t="s">
        <v>61</v>
      </c>
      <c r="S44"/>
    </row>
    <row r="45" spans="1:19" ht="43.2" x14ac:dyDescent="0.3">
      <c r="A45" s="5">
        <v>6066</v>
      </c>
      <c r="B45" s="13" t="s">
        <v>72</v>
      </c>
      <c r="C45" s="29" t="s">
        <v>242</v>
      </c>
      <c r="D45" s="8" t="s">
        <v>242</v>
      </c>
      <c r="E45" s="6" t="s">
        <v>397</v>
      </c>
      <c r="F45" s="8" t="s">
        <v>209</v>
      </c>
      <c r="G45" s="8" t="s">
        <v>69</v>
      </c>
      <c r="H45" s="8" t="s">
        <v>21</v>
      </c>
      <c r="I45" s="8" t="s">
        <v>159</v>
      </c>
      <c r="J45" s="8" t="s">
        <v>243</v>
      </c>
      <c r="K45" s="8" t="s">
        <v>244</v>
      </c>
      <c r="L45" s="6" t="s">
        <v>143</v>
      </c>
      <c r="M45" s="6" t="s">
        <v>26</v>
      </c>
      <c r="N45" s="9">
        <v>28134</v>
      </c>
      <c r="O45" s="38">
        <v>35.100919182900903</v>
      </c>
      <c r="P45" s="38">
        <v>-80.884326618604902</v>
      </c>
      <c r="Q45" s="12">
        <v>500</v>
      </c>
      <c r="R45" s="8" t="s">
        <v>245</v>
      </c>
      <c r="S45"/>
    </row>
    <row r="46" spans="1:19" ht="28.8" x14ac:dyDescent="0.3">
      <c r="A46" s="5">
        <v>6067</v>
      </c>
      <c r="B46" s="13" t="s">
        <v>34</v>
      </c>
      <c r="C46" s="29" t="s">
        <v>247</v>
      </c>
      <c r="D46" s="8" t="s">
        <v>248</v>
      </c>
      <c r="E46" s="6" t="s">
        <v>397</v>
      </c>
      <c r="F46" s="8" t="s">
        <v>209</v>
      </c>
      <c r="G46" s="8" t="s">
        <v>229</v>
      </c>
      <c r="H46" s="8" t="s">
        <v>45</v>
      </c>
      <c r="I46" s="8" t="s">
        <v>210</v>
      </c>
      <c r="J46" s="8" t="s">
        <v>65</v>
      </c>
      <c r="K46" s="8" t="s">
        <v>249</v>
      </c>
      <c r="L46" s="6" t="s">
        <v>47</v>
      </c>
      <c r="M46" s="6" t="s">
        <v>26</v>
      </c>
      <c r="N46" s="9"/>
      <c r="O46" s="46">
        <v>39.689503000000002</v>
      </c>
      <c r="P46" s="46">
        <v>-84.168823000000003</v>
      </c>
      <c r="Q46" s="12"/>
      <c r="R46" s="8"/>
      <c r="S46"/>
    </row>
    <row r="47" spans="1:19" ht="28.8" x14ac:dyDescent="0.3">
      <c r="A47" s="5">
        <v>6074</v>
      </c>
      <c r="B47" s="13" t="s">
        <v>17</v>
      </c>
      <c r="C47" s="7" t="s">
        <v>250</v>
      </c>
      <c r="D47" s="7" t="s">
        <v>251</v>
      </c>
      <c r="E47" s="6" t="s">
        <v>396</v>
      </c>
      <c r="F47" s="8" t="s">
        <v>252</v>
      </c>
      <c r="G47" s="8" t="s">
        <v>38</v>
      </c>
      <c r="H47" s="8" t="s">
        <v>21</v>
      </c>
      <c r="I47" s="8" t="s">
        <v>230</v>
      </c>
      <c r="J47" s="8" t="s">
        <v>253</v>
      </c>
      <c r="K47" s="8" t="s">
        <v>251</v>
      </c>
      <c r="L47" s="6" t="s">
        <v>246</v>
      </c>
      <c r="M47" s="6" t="s">
        <v>26</v>
      </c>
      <c r="N47" s="6">
        <v>22401</v>
      </c>
      <c r="O47" s="38">
        <v>38.284119860456798</v>
      </c>
      <c r="P47" s="38">
        <v>-77.462160145851598</v>
      </c>
      <c r="Q47" s="12"/>
      <c r="R47" s="8"/>
      <c r="S47"/>
    </row>
    <row r="48" spans="1:19" ht="28.8" x14ac:dyDescent="0.3">
      <c r="A48" s="5">
        <v>6075</v>
      </c>
      <c r="B48" s="13" t="s">
        <v>17</v>
      </c>
      <c r="C48" s="7" t="s">
        <v>250</v>
      </c>
      <c r="D48" s="8" t="s">
        <v>254</v>
      </c>
      <c r="E48" s="6" t="s">
        <v>396</v>
      </c>
      <c r="F48" s="8" t="s">
        <v>252</v>
      </c>
      <c r="G48" s="8" t="s">
        <v>38</v>
      </c>
      <c r="H48" s="8" t="s">
        <v>21</v>
      </c>
      <c r="I48" s="8" t="s">
        <v>230</v>
      </c>
      <c r="J48" s="8" t="s">
        <v>255</v>
      </c>
      <c r="K48" s="8" t="s">
        <v>251</v>
      </c>
      <c r="L48" s="6" t="s">
        <v>246</v>
      </c>
      <c r="M48" s="6" t="s">
        <v>26</v>
      </c>
      <c r="N48" s="9">
        <v>22408</v>
      </c>
      <c r="O48" s="38">
        <v>38.395200506467901</v>
      </c>
      <c r="P48" s="38">
        <v>-77.4326440476991</v>
      </c>
      <c r="Q48" s="12"/>
      <c r="R48" s="8"/>
      <c r="S48"/>
    </row>
    <row r="49" spans="1:19" ht="28.8" x14ac:dyDescent="0.3">
      <c r="A49" s="5">
        <v>6076</v>
      </c>
      <c r="B49" s="13" t="s">
        <v>17</v>
      </c>
      <c r="C49" s="7" t="s">
        <v>250</v>
      </c>
      <c r="D49" s="8" t="s">
        <v>256</v>
      </c>
      <c r="E49" s="6" t="s">
        <v>396</v>
      </c>
      <c r="F49" s="8" t="s">
        <v>252</v>
      </c>
      <c r="G49" s="8" t="s">
        <v>20</v>
      </c>
      <c r="H49" s="8" t="s">
        <v>21</v>
      </c>
      <c r="I49" s="8" t="s">
        <v>230</v>
      </c>
      <c r="J49" s="8" t="s">
        <v>257</v>
      </c>
      <c r="K49" s="8" t="s">
        <v>258</v>
      </c>
      <c r="L49" s="6" t="s">
        <v>246</v>
      </c>
      <c r="M49" s="6" t="s">
        <v>26</v>
      </c>
      <c r="N49" s="9">
        <v>23323</v>
      </c>
      <c r="O49" s="38">
        <v>36.776257524805999</v>
      </c>
      <c r="P49" s="38">
        <v>-76.325088218931896</v>
      </c>
      <c r="Q49" s="12"/>
      <c r="R49" s="8"/>
      <c r="S49"/>
    </row>
    <row r="50" spans="1:19" ht="28.8" x14ac:dyDescent="0.3">
      <c r="A50" s="5">
        <v>6077</v>
      </c>
      <c r="B50" s="6" t="s">
        <v>17</v>
      </c>
      <c r="C50" s="8" t="s">
        <v>259</v>
      </c>
      <c r="D50" s="8" t="s">
        <v>260</v>
      </c>
      <c r="E50" s="6" t="s">
        <v>396</v>
      </c>
      <c r="F50" s="6" t="s">
        <v>252</v>
      </c>
      <c r="G50" s="6" t="s">
        <v>20</v>
      </c>
      <c r="H50" s="8" t="s">
        <v>21</v>
      </c>
      <c r="I50" s="8" t="s">
        <v>261</v>
      </c>
      <c r="J50" s="8"/>
      <c r="K50" s="6"/>
      <c r="L50" s="6" t="s">
        <v>121</v>
      </c>
      <c r="M50" s="6" t="s">
        <v>26</v>
      </c>
      <c r="N50" s="48"/>
      <c r="O50" s="49">
        <v>33.402234966450102</v>
      </c>
      <c r="P50" s="49">
        <v>-122.81972017263401</v>
      </c>
      <c r="Q50" s="12"/>
      <c r="R50" s="8"/>
      <c r="S50"/>
    </row>
    <row r="51" spans="1:19" ht="57.6" x14ac:dyDescent="0.3">
      <c r="A51" s="5">
        <v>6079</v>
      </c>
      <c r="B51" s="13" t="s">
        <v>17</v>
      </c>
      <c r="C51" s="7" t="s">
        <v>262</v>
      </c>
      <c r="D51" s="8" t="s">
        <v>262</v>
      </c>
      <c r="E51" s="6" t="s">
        <v>395</v>
      </c>
      <c r="F51" s="8" t="s">
        <v>110</v>
      </c>
      <c r="G51" s="8" t="s">
        <v>124</v>
      </c>
      <c r="H51" s="8" t="s">
        <v>21</v>
      </c>
      <c r="I51" s="8" t="s">
        <v>263</v>
      </c>
      <c r="J51" s="8" t="s">
        <v>264</v>
      </c>
      <c r="K51" s="8" t="s">
        <v>265</v>
      </c>
      <c r="L51" s="6" t="s">
        <v>266</v>
      </c>
      <c r="M51" s="6" t="s">
        <v>26</v>
      </c>
      <c r="N51" s="9">
        <v>84104</v>
      </c>
      <c r="O51" s="38">
        <v>40.7592075315725</v>
      </c>
      <c r="P51" s="38">
        <v>-111.961390774964</v>
      </c>
      <c r="Q51" s="12"/>
      <c r="R51" s="8"/>
      <c r="S51"/>
    </row>
    <row r="52" spans="1:19" ht="57.6" x14ac:dyDescent="0.3">
      <c r="A52" s="5">
        <v>6080</v>
      </c>
      <c r="B52" s="13" t="s">
        <v>17</v>
      </c>
      <c r="C52" s="7" t="s">
        <v>262</v>
      </c>
      <c r="D52" s="8" t="s">
        <v>267</v>
      </c>
      <c r="E52" s="6" t="s">
        <v>395</v>
      </c>
      <c r="F52" s="8" t="s">
        <v>110</v>
      </c>
      <c r="G52" s="8" t="s">
        <v>124</v>
      </c>
      <c r="H52" s="8" t="s">
        <v>21</v>
      </c>
      <c r="I52" s="8" t="s">
        <v>263</v>
      </c>
      <c r="J52" s="8" t="s">
        <v>268</v>
      </c>
      <c r="K52" s="8" t="s">
        <v>269</v>
      </c>
      <c r="L52" s="6" t="s">
        <v>123</v>
      </c>
      <c r="M52" s="6" t="s">
        <v>26</v>
      </c>
      <c r="N52" s="9">
        <v>80302</v>
      </c>
      <c r="O52" s="38">
        <v>39.824857305259798</v>
      </c>
      <c r="P52" s="38">
        <v>-105.03509990940501</v>
      </c>
      <c r="Q52" s="12"/>
      <c r="R52" s="8"/>
      <c r="S52"/>
    </row>
    <row r="53" spans="1:19" ht="57.6" x14ac:dyDescent="0.3">
      <c r="A53" s="5">
        <v>6081</v>
      </c>
      <c r="B53" s="6" t="s">
        <v>17</v>
      </c>
      <c r="C53" s="7" t="s">
        <v>270</v>
      </c>
      <c r="D53" s="7" t="s">
        <v>270</v>
      </c>
      <c r="E53" s="6" t="s">
        <v>396</v>
      </c>
      <c r="F53" s="8" t="s">
        <v>86</v>
      </c>
      <c r="G53" s="8" t="s">
        <v>69</v>
      </c>
      <c r="H53" s="8" t="s">
        <v>21</v>
      </c>
      <c r="I53" s="8" t="s">
        <v>96</v>
      </c>
      <c r="J53" s="8" t="s">
        <v>271</v>
      </c>
      <c r="K53" s="8" t="s">
        <v>272</v>
      </c>
      <c r="L53" s="6" t="s">
        <v>146</v>
      </c>
      <c r="M53" s="6" t="s">
        <v>26</v>
      </c>
      <c r="N53" s="9">
        <v>49445</v>
      </c>
      <c r="O53" s="38">
        <v>43.256325754559597</v>
      </c>
      <c r="P53" s="38">
        <v>-86.2680567887504</v>
      </c>
      <c r="Q53" s="12"/>
      <c r="R53" s="8"/>
      <c r="S53"/>
    </row>
    <row r="54" spans="1:19" ht="43.2" x14ac:dyDescent="0.3">
      <c r="A54" s="5">
        <v>6082</v>
      </c>
      <c r="B54" s="13" t="s">
        <v>72</v>
      </c>
      <c r="C54" s="7" t="s">
        <v>273</v>
      </c>
      <c r="D54" s="13" t="s">
        <v>273</v>
      </c>
      <c r="E54" s="13" t="s">
        <v>397</v>
      </c>
      <c r="F54" s="8" t="s">
        <v>37</v>
      </c>
      <c r="G54" s="7" t="s">
        <v>274</v>
      </c>
      <c r="H54" s="13" t="s">
        <v>21</v>
      </c>
      <c r="I54" s="13" t="s">
        <v>275</v>
      </c>
      <c r="J54" s="7" t="s">
        <v>276</v>
      </c>
      <c r="K54" s="13" t="s">
        <v>277</v>
      </c>
      <c r="L54" s="13" t="s">
        <v>47</v>
      </c>
      <c r="M54" s="6" t="s">
        <v>26</v>
      </c>
      <c r="N54" s="9">
        <v>45014</v>
      </c>
      <c r="O54" s="38">
        <v>39.3192116571011</v>
      </c>
      <c r="P54" s="38">
        <v>-84.477529191815506</v>
      </c>
      <c r="Q54" s="11"/>
      <c r="R54" s="7"/>
      <c r="S54"/>
    </row>
    <row r="55" spans="1:19" ht="43.2" x14ac:dyDescent="0.3">
      <c r="A55" s="5">
        <v>6083</v>
      </c>
      <c r="B55" s="31" t="s">
        <v>17</v>
      </c>
      <c r="C55" s="32" t="s">
        <v>278</v>
      </c>
      <c r="D55" s="30" t="s">
        <v>278</v>
      </c>
      <c r="E55" s="31" t="s">
        <v>397</v>
      </c>
      <c r="F55" s="30" t="s">
        <v>92</v>
      </c>
      <c r="G55" s="30" t="s">
        <v>111</v>
      </c>
      <c r="H55" s="30" t="s">
        <v>21</v>
      </c>
      <c r="I55" s="30" t="s">
        <v>77</v>
      </c>
      <c r="J55" s="30" t="s">
        <v>279</v>
      </c>
      <c r="K55" s="30" t="s">
        <v>280</v>
      </c>
      <c r="L55" s="31" t="s">
        <v>47</v>
      </c>
      <c r="M55" s="31" t="s">
        <v>26</v>
      </c>
      <c r="N55" s="33">
        <v>43110</v>
      </c>
      <c r="O55" s="78">
        <v>40</v>
      </c>
      <c r="P55" s="78">
        <v>-82.81</v>
      </c>
      <c r="Q55" s="34" t="s">
        <v>206</v>
      </c>
      <c r="R55" s="30" t="s">
        <v>206</v>
      </c>
      <c r="S55"/>
    </row>
    <row r="56" spans="1:19" ht="28.8" x14ac:dyDescent="0.3">
      <c r="A56" s="5">
        <v>6084</v>
      </c>
      <c r="B56" s="51" t="s">
        <v>17</v>
      </c>
      <c r="C56" s="52" t="s">
        <v>281</v>
      </c>
      <c r="D56" s="8" t="s">
        <v>282</v>
      </c>
      <c r="E56" s="6" t="s">
        <v>396</v>
      </c>
      <c r="F56" s="47" t="s">
        <v>252</v>
      </c>
      <c r="G56" s="8"/>
      <c r="H56" s="8" t="s">
        <v>21</v>
      </c>
      <c r="I56" s="8" t="s">
        <v>102</v>
      </c>
      <c r="J56" s="8" t="s">
        <v>283</v>
      </c>
      <c r="K56" s="8" t="s">
        <v>284</v>
      </c>
      <c r="L56" s="8" t="s">
        <v>99</v>
      </c>
      <c r="M56" s="8" t="s">
        <v>26</v>
      </c>
      <c r="N56" s="8">
        <v>90010</v>
      </c>
      <c r="O56" s="79">
        <v>34.062475529846203</v>
      </c>
      <c r="P56" s="79">
        <v>-118.335063733287</v>
      </c>
      <c r="Q56" s="12"/>
      <c r="R56" s="8"/>
      <c r="S56"/>
    </row>
    <row r="57" spans="1:19" ht="43.2" x14ac:dyDescent="0.3">
      <c r="A57" s="5">
        <v>6086</v>
      </c>
      <c r="B57" s="31" t="s">
        <v>72</v>
      </c>
      <c r="C57" s="30" t="s">
        <v>285</v>
      </c>
      <c r="D57" s="30" t="s">
        <v>285</v>
      </c>
      <c r="E57" s="31" t="s">
        <v>397</v>
      </c>
      <c r="F57" s="30" t="s">
        <v>92</v>
      </c>
      <c r="G57" s="30" t="s">
        <v>111</v>
      </c>
      <c r="H57" s="30" t="s">
        <v>21</v>
      </c>
      <c r="I57" s="30" t="s">
        <v>64</v>
      </c>
      <c r="J57" s="30" t="s">
        <v>286</v>
      </c>
      <c r="K57" s="30" t="s">
        <v>287</v>
      </c>
      <c r="L57" s="31" t="s">
        <v>288</v>
      </c>
      <c r="M57" s="31" t="s">
        <v>26</v>
      </c>
      <c r="N57" s="33">
        <v>8505</v>
      </c>
      <c r="O57" s="78">
        <v>40.144100000000002</v>
      </c>
      <c r="P57" s="78">
        <v>-74.710300000000004</v>
      </c>
      <c r="Q57" s="34"/>
      <c r="R57" s="30"/>
      <c r="S57"/>
    </row>
    <row r="58" spans="1:19" ht="43.2" x14ac:dyDescent="0.3">
      <c r="A58" s="5">
        <v>6087</v>
      </c>
      <c r="B58" s="31" t="s">
        <v>72</v>
      </c>
      <c r="C58" s="30" t="s">
        <v>285</v>
      </c>
      <c r="D58" s="8" t="s">
        <v>289</v>
      </c>
      <c r="E58" s="6" t="s">
        <v>397</v>
      </c>
      <c r="F58" s="30" t="s">
        <v>92</v>
      </c>
      <c r="G58" s="8" t="s">
        <v>111</v>
      </c>
      <c r="H58" s="30" t="s">
        <v>21</v>
      </c>
      <c r="I58" s="30" t="s">
        <v>64</v>
      </c>
      <c r="J58" s="8" t="s">
        <v>290</v>
      </c>
      <c r="K58" s="8" t="s">
        <v>291</v>
      </c>
      <c r="L58" s="6" t="s">
        <v>42</v>
      </c>
      <c r="M58" s="6" t="s">
        <v>26</v>
      </c>
      <c r="N58" s="9">
        <v>75069</v>
      </c>
      <c r="O58" s="77">
        <v>33.173098000000003</v>
      </c>
      <c r="P58" s="77">
        <v>-96.607868999999994</v>
      </c>
      <c r="Q58" s="12">
        <v>500</v>
      </c>
      <c r="R58" s="8" t="s">
        <v>201</v>
      </c>
      <c r="S58"/>
    </row>
    <row r="59" spans="1:19" ht="28.8" x14ac:dyDescent="0.3">
      <c r="A59" s="5">
        <v>6088</v>
      </c>
      <c r="B59" s="13" t="s">
        <v>17</v>
      </c>
      <c r="C59" s="7" t="s">
        <v>292</v>
      </c>
      <c r="D59" s="8" t="s">
        <v>292</v>
      </c>
      <c r="E59" s="6" t="s">
        <v>397</v>
      </c>
      <c r="F59" s="8" t="s">
        <v>50</v>
      </c>
      <c r="G59" s="8" t="s">
        <v>20</v>
      </c>
      <c r="H59" s="8" t="s">
        <v>21</v>
      </c>
      <c r="I59" s="8" t="s">
        <v>263</v>
      </c>
      <c r="J59" s="8" t="s">
        <v>293</v>
      </c>
      <c r="K59" s="8" t="s">
        <v>294</v>
      </c>
      <c r="L59" s="6" t="s">
        <v>295</v>
      </c>
      <c r="M59" s="6" t="s">
        <v>26</v>
      </c>
      <c r="N59" s="9">
        <v>97201</v>
      </c>
      <c r="O59" s="38">
        <v>45.513269999999999</v>
      </c>
      <c r="P59" s="38">
        <v>-122.67771999999999</v>
      </c>
      <c r="Q59" s="12"/>
      <c r="R59" s="8"/>
      <c r="S59"/>
    </row>
    <row r="60" spans="1:19" ht="57.6" x14ac:dyDescent="0.3">
      <c r="A60" s="5">
        <v>6090</v>
      </c>
      <c r="B60" s="6" t="s">
        <v>17</v>
      </c>
      <c r="C60" s="7" t="s">
        <v>296</v>
      </c>
      <c r="D60" s="7" t="s">
        <v>296</v>
      </c>
      <c r="E60" s="6" t="s">
        <v>397</v>
      </c>
      <c r="F60" s="30" t="s">
        <v>92</v>
      </c>
      <c r="G60" s="8" t="s">
        <v>111</v>
      </c>
      <c r="H60" s="8" t="s">
        <v>21</v>
      </c>
      <c r="I60" s="8" t="s">
        <v>39</v>
      </c>
      <c r="J60" s="8" t="s">
        <v>297</v>
      </c>
      <c r="K60" s="8" t="s">
        <v>298</v>
      </c>
      <c r="L60" s="6" t="s">
        <v>46</v>
      </c>
      <c r="M60" s="6" t="s">
        <v>26</v>
      </c>
      <c r="N60" s="9">
        <v>44306</v>
      </c>
      <c r="O60" s="79">
        <v>41.071359421310497</v>
      </c>
      <c r="P60" s="79">
        <v>-81.500703511458298</v>
      </c>
      <c r="Q60" s="12"/>
      <c r="R60" s="8"/>
      <c r="S60"/>
    </row>
    <row r="61" spans="1:19" ht="72" x14ac:dyDescent="0.3">
      <c r="A61" s="5">
        <v>6091</v>
      </c>
      <c r="B61" s="53" t="s">
        <v>72</v>
      </c>
      <c r="C61" s="54" t="s">
        <v>299</v>
      </c>
      <c r="D61" s="47" t="s">
        <v>299</v>
      </c>
      <c r="E61" s="51" t="s">
        <v>395</v>
      </c>
      <c r="F61" s="47" t="s">
        <v>300</v>
      </c>
      <c r="G61" s="47" t="s">
        <v>111</v>
      </c>
      <c r="H61" s="47" t="s">
        <v>21</v>
      </c>
      <c r="I61" s="47" t="s">
        <v>301</v>
      </c>
      <c r="J61" s="47" t="s">
        <v>302</v>
      </c>
      <c r="K61" s="47" t="s">
        <v>303</v>
      </c>
      <c r="L61" s="51" t="s">
        <v>123</v>
      </c>
      <c r="M61" s="51" t="s">
        <v>26</v>
      </c>
      <c r="N61" s="55">
        <v>80907</v>
      </c>
      <c r="O61" s="80">
        <v>38.862507736661101</v>
      </c>
      <c r="P61" s="80">
        <v>-104.824386832732</v>
      </c>
      <c r="Q61" s="56"/>
      <c r="R61" s="47"/>
      <c r="S61"/>
    </row>
    <row r="62" spans="1:19" ht="57.6" x14ac:dyDescent="0.3">
      <c r="A62" s="5">
        <v>6092</v>
      </c>
      <c r="B62" s="6" t="s">
        <v>54</v>
      </c>
      <c r="C62" s="7" t="s">
        <v>304</v>
      </c>
      <c r="D62" s="8" t="s">
        <v>305</v>
      </c>
      <c r="E62" s="6" t="s">
        <v>397</v>
      </c>
      <c r="F62" s="8" t="s">
        <v>37</v>
      </c>
      <c r="G62" s="8" t="s">
        <v>111</v>
      </c>
      <c r="H62" s="8" t="s">
        <v>21</v>
      </c>
      <c r="I62" s="8" t="s">
        <v>64</v>
      </c>
      <c r="J62" s="8" t="s">
        <v>306</v>
      </c>
      <c r="K62" s="8" t="s">
        <v>75</v>
      </c>
      <c r="L62" s="6" t="s">
        <v>60</v>
      </c>
      <c r="M62" s="6" t="s">
        <v>26</v>
      </c>
      <c r="N62" s="9">
        <v>89434</v>
      </c>
      <c r="O62" s="38">
        <v>39.494671102178401</v>
      </c>
      <c r="P62" s="38">
        <v>-119.447446517356</v>
      </c>
      <c r="Q62" s="12">
        <v>100000</v>
      </c>
      <c r="R62" s="8" t="s">
        <v>307</v>
      </c>
      <c r="S62"/>
    </row>
    <row r="63" spans="1:19" ht="57.6" x14ac:dyDescent="0.3">
      <c r="A63" s="5">
        <v>6093</v>
      </c>
      <c r="B63" s="6" t="s">
        <v>54</v>
      </c>
      <c r="C63" s="7" t="s">
        <v>304</v>
      </c>
      <c r="D63" s="8" t="s">
        <v>308</v>
      </c>
      <c r="E63" s="6" t="s">
        <v>397</v>
      </c>
      <c r="F63" s="8" t="s">
        <v>37</v>
      </c>
      <c r="G63" s="8" t="s">
        <v>309</v>
      </c>
      <c r="H63" s="8" t="s">
        <v>21</v>
      </c>
      <c r="I63" s="8" t="s">
        <v>310</v>
      </c>
      <c r="J63" s="8" t="s">
        <v>306</v>
      </c>
      <c r="K63" s="8" t="s">
        <v>75</v>
      </c>
      <c r="L63" s="6" t="s">
        <v>60</v>
      </c>
      <c r="M63" s="6" t="s">
        <v>26</v>
      </c>
      <c r="N63" s="9">
        <v>89434</v>
      </c>
      <c r="O63" s="38">
        <v>39.494671102178401</v>
      </c>
      <c r="P63" s="38">
        <v>-119.447446517356</v>
      </c>
      <c r="Q63" s="12">
        <v>36000</v>
      </c>
      <c r="R63" s="8" t="s">
        <v>311</v>
      </c>
      <c r="S63"/>
    </row>
    <row r="64" spans="1:19" ht="28.8" x14ac:dyDescent="0.3">
      <c r="A64" s="5">
        <v>6094</v>
      </c>
      <c r="B64" s="6" t="s">
        <v>17</v>
      </c>
      <c r="C64" s="7" t="s">
        <v>304</v>
      </c>
      <c r="D64" s="8" t="s">
        <v>312</v>
      </c>
      <c r="E64" s="6" t="s">
        <v>397</v>
      </c>
      <c r="F64" s="8" t="s">
        <v>37</v>
      </c>
      <c r="G64" s="8" t="s">
        <v>111</v>
      </c>
      <c r="H64" s="8" t="s">
        <v>21</v>
      </c>
      <c r="I64" s="8" t="s">
        <v>87</v>
      </c>
      <c r="J64" s="8" t="s">
        <v>313</v>
      </c>
      <c r="K64" s="8" t="s">
        <v>71</v>
      </c>
      <c r="L64" s="6" t="s">
        <v>60</v>
      </c>
      <c r="M64" s="6" t="s">
        <v>26</v>
      </c>
      <c r="N64" s="9">
        <v>89521</v>
      </c>
      <c r="O64" s="38">
        <v>39.441489577275</v>
      </c>
      <c r="P64" s="38">
        <v>-119.764174087014</v>
      </c>
      <c r="Q64" s="12">
        <v>40</v>
      </c>
      <c r="R64" s="8" t="s">
        <v>314</v>
      </c>
      <c r="S64"/>
    </row>
    <row r="65" spans="1:19" ht="57.6" x14ac:dyDescent="0.3">
      <c r="A65" s="5">
        <v>6095</v>
      </c>
      <c r="B65" s="6" t="s">
        <v>54</v>
      </c>
      <c r="C65" s="7" t="s">
        <v>304</v>
      </c>
      <c r="D65" s="8" t="s">
        <v>315</v>
      </c>
      <c r="E65" s="6" t="s">
        <v>397</v>
      </c>
      <c r="F65" s="8" t="s">
        <v>37</v>
      </c>
      <c r="G65" s="8" t="s">
        <v>111</v>
      </c>
      <c r="H65" s="8" t="s">
        <v>21</v>
      </c>
      <c r="I65" s="8" t="s">
        <v>310</v>
      </c>
      <c r="J65" s="8" t="s">
        <v>316</v>
      </c>
      <c r="K65" s="8" t="s">
        <v>317</v>
      </c>
      <c r="L65" s="6" t="s">
        <v>66</v>
      </c>
      <c r="M65" s="6" t="s">
        <v>26</v>
      </c>
      <c r="N65" s="9">
        <v>29472</v>
      </c>
      <c r="O65" s="38">
        <v>33.132441977815802</v>
      </c>
      <c r="P65" s="38">
        <v>-80.2669172329486</v>
      </c>
      <c r="Q65" s="12">
        <v>100</v>
      </c>
      <c r="R65" s="8" t="s">
        <v>318</v>
      </c>
      <c r="S65"/>
    </row>
    <row r="66" spans="1:19" ht="57.6" x14ac:dyDescent="0.3">
      <c r="A66" s="5">
        <v>6096</v>
      </c>
      <c r="B66" s="6" t="s">
        <v>54</v>
      </c>
      <c r="C66" s="57" t="s">
        <v>304</v>
      </c>
      <c r="D66" s="8" t="s">
        <v>315</v>
      </c>
      <c r="E66" s="6" t="s">
        <v>397</v>
      </c>
      <c r="F66" s="8" t="s">
        <v>37</v>
      </c>
      <c r="G66" s="8" t="s">
        <v>111</v>
      </c>
      <c r="H66" s="8" t="s">
        <v>21</v>
      </c>
      <c r="I66" s="8" t="s">
        <v>64</v>
      </c>
      <c r="J66" s="8" t="s">
        <v>316</v>
      </c>
      <c r="K66" s="8" t="s">
        <v>317</v>
      </c>
      <c r="L66" s="6" t="s">
        <v>66</v>
      </c>
      <c r="M66" s="6" t="s">
        <v>26</v>
      </c>
      <c r="N66" s="9">
        <v>29472</v>
      </c>
      <c r="O66" s="38">
        <v>33.132441977815802</v>
      </c>
      <c r="P66" s="38">
        <v>-80.2669172329486</v>
      </c>
      <c r="Q66" s="12">
        <v>100</v>
      </c>
      <c r="R66" s="8" t="s">
        <v>318</v>
      </c>
      <c r="S66"/>
    </row>
    <row r="67" spans="1:19" ht="72" x14ac:dyDescent="0.3">
      <c r="A67" s="5">
        <v>6097</v>
      </c>
      <c r="B67" s="6" t="s">
        <v>17</v>
      </c>
      <c r="C67" s="57" t="s">
        <v>320</v>
      </c>
      <c r="D67" s="8" t="s">
        <v>304</v>
      </c>
      <c r="E67" s="6" t="s">
        <v>397</v>
      </c>
      <c r="F67" s="8" t="s">
        <v>37</v>
      </c>
      <c r="G67" s="8" t="s">
        <v>111</v>
      </c>
      <c r="H67" s="8" t="s">
        <v>21</v>
      </c>
      <c r="I67" s="8" t="s">
        <v>64</v>
      </c>
      <c r="J67" s="8" t="s">
        <v>321</v>
      </c>
      <c r="K67" s="8" t="s">
        <v>319</v>
      </c>
      <c r="L67" s="6" t="s">
        <v>60</v>
      </c>
      <c r="M67" s="6" t="s">
        <v>26</v>
      </c>
      <c r="N67" s="9" t="s">
        <v>322</v>
      </c>
      <c r="O67" s="38">
        <v>39.163990785812601</v>
      </c>
      <c r="P67" s="38">
        <v>-119.73994901642899</v>
      </c>
      <c r="Q67" s="12"/>
      <c r="R67" s="8"/>
      <c r="S67"/>
    </row>
    <row r="68" spans="1:19" ht="28.8" x14ac:dyDescent="0.3">
      <c r="A68" s="5">
        <v>6098</v>
      </c>
      <c r="B68" t="s">
        <v>72</v>
      </c>
      <c r="C68" s="58" t="s">
        <v>323</v>
      </c>
      <c r="D68" s="14" t="s">
        <v>324</v>
      </c>
      <c r="E68" s="72" t="s">
        <v>397</v>
      </c>
      <c r="F68" s="8" t="s">
        <v>325</v>
      </c>
      <c r="G68" s="8" t="s">
        <v>69</v>
      </c>
      <c r="H68" s="8" t="s">
        <v>326</v>
      </c>
      <c r="I68" t="s">
        <v>327</v>
      </c>
      <c r="J68" t="s">
        <v>328</v>
      </c>
      <c r="K68" t="s">
        <v>329</v>
      </c>
      <c r="L68" s="6" t="s">
        <v>330</v>
      </c>
      <c r="M68" s="6" t="s">
        <v>26</v>
      </c>
      <c r="N68" s="39" t="s">
        <v>331</v>
      </c>
      <c r="O68" s="38">
        <v>40.039953737362403</v>
      </c>
      <c r="P68" s="38">
        <v>-86.001787130681095</v>
      </c>
      <c r="Q68">
        <v>5</v>
      </c>
      <c r="R68" s="8" t="s">
        <v>61</v>
      </c>
      <c r="S68"/>
    </row>
    <row r="69" spans="1:19" ht="57.6" x14ac:dyDescent="0.3">
      <c r="A69" s="5">
        <v>6099</v>
      </c>
      <c r="B69" s="6" t="s">
        <v>17</v>
      </c>
      <c r="C69" s="59" t="s">
        <v>332</v>
      </c>
      <c r="D69" s="8" t="s">
        <v>332</v>
      </c>
      <c r="E69" s="6" t="s">
        <v>396</v>
      </c>
      <c r="F69" s="8" t="s">
        <v>86</v>
      </c>
      <c r="G69" s="6" t="s">
        <v>20</v>
      </c>
      <c r="H69" s="8" t="s">
        <v>21</v>
      </c>
      <c r="I69" s="8" t="s">
        <v>333</v>
      </c>
      <c r="J69" s="8" t="s">
        <v>334</v>
      </c>
      <c r="K69" s="6" t="s">
        <v>335</v>
      </c>
      <c r="L69" s="6" t="s">
        <v>99</v>
      </c>
      <c r="M69" s="6" t="s">
        <v>26</v>
      </c>
      <c r="N69" s="9">
        <v>90755</v>
      </c>
      <c r="O69" s="38">
        <v>33.809784735461101</v>
      </c>
      <c r="P69" s="38">
        <v>-118.173982588786</v>
      </c>
      <c r="Q69" s="12"/>
      <c r="R69" s="8"/>
      <c r="S69"/>
    </row>
    <row r="70" spans="1:19" ht="28.8" x14ac:dyDescent="0.3">
      <c r="A70" s="5">
        <v>6100</v>
      </c>
      <c r="B70" s="13" t="s">
        <v>17</v>
      </c>
      <c r="C70" s="60" t="s">
        <v>336</v>
      </c>
      <c r="D70" s="8" t="s">
        <v>336</v>
      </c>
      <c r="E70" s="6" t="s">
        <v>396</v>
      </c>
      <c r="F70" s="8" t="s">
        <v>337</v>
      </c>
      <c r="G70" s="8" t="s">
        <v>20</v>
      </c>
      <c r="H70" s="8" t="s">
        <v>21</v>
      </c>
      <c r="I70" s="8" t="s">
        <v>338</v>
      </c>
      <c r="J70" s="8" t="s">
        <v>339</v>
      </c>
      <c r="K70" s="8" t="s">
        <v>340</v>
      </c>
      <c r="L70" s="6" t="s">
        <v>99</v>
      </c>
      <c r="M70" s="6" t="s">
        <v>26</v>
      </c>
      <c r="N70" s="9">
        <v>94536</v>
      </c>
      <c r="O70" s="38">
        <v>37.539650000000002</v>
      </c>
      <c r="P70" s="38">
        <v>-122.00366</v>
      </c>
      <c r="Q70" s="12"/>
      <c r="R70" s="8"/>
      <c r="S70"/>
    </row>
    <row r="71" spans="1:19" ht="28.8" x14ac:dyDescent="0.3">
      <c r="A71" s="5">
        <v>6102</v>
      </c>
      <c r="B71" s="13" t="s">
        <v>17</v>
      </c>
      <c r="C71" s="7" t="s">
        <v>341</v>
      </c>
      <c r="D71" s="8" t="s">
        <v>341</v>
      </c>
      <c r="E71" s="6" t="s">
        <v>397</v>
      </c>
      <c r="F71" s="8" t="s">
        <v>342</v>
      </c>
      <c r="G71" s="8" t="s">
        <v>38</v>
      </c>
      <c r="H71" s="8" t="s">
        <v>343</v>
      </c>
      <c r="I71" s="8" t="s">
        <v>344</v>
      </c>
      <c r="J71" s="8" t="s">
        <v>345</v>
      </c>
      <c r="K71" s="8" t="s">
        <v>346</v>
      </c>
      <c r="L71" s="6" t="s">
        <v>78</v>
      </c>
      <c r="M71" s="6" t="s">
        <v>26</v>
      </c>
      <c r="N71" s="9">
        <v>2571</v>
      </c>
      <c r="O71" s="38">
        <v>41.77393</v>
      </c>
      <c r="P71" s="38">
        <v>-70.702110000000005</v>
      </c>
      <c r="Q71" s="12"/>
      <c r="R71" s="8"/>
      <c r="S71"/>
    </row>
    <row r="72" spans="1:19" ht="28.8" x14ac:dyDescent="0.3">
      <c r="A72" s="5">
        <v>6103</v>
      </c>
      <c r="B72" s="13" t="s">
        <v>17</v>
      </c>
      <c r="C72" s="7" t="s">
        <v>347</v>
      </c>
      <c r="D72" s="8" t="s">
        <v>347</v>
      </c>
      <c r="E72" s="6" t="s">
        <v>396</v>
      </c>
      <c r="F72" s="8" t="s">
        <v>337</v>
      </c>
      <c r="G72" s="8" t="s">
        <v>38</v>
      </c>
      <c r="H72" s="8" t="s">
        <v>21</v>
      </c>
      <c r="I72" s="8" t="s">
        <v>348</v>
      </c>
      <c r="J72" s="8" t="s">
        <v>349</v>
      </c>
      <c r="K72" s="8" t="s">
        <v>350</v>
      </c>
      <c r="L72" s="6" t="s">
        <v>42</v>
      </c>
      <c r="M72" s="6" t="s">
        <v>26</v>
      </c>
      <c r="N72" s="9">
        <v>77478</v>
      </c>
      <c r="O72" s="38">
        <v>29.649463999999998</v>
      </c>
      <c r="P72" s="38">
        <v>-95.599621999999997</v>
      </c>
      <c r="Q72" s="12"/>
      <c r="R72" s="8"/>
      <c r="S72"/>
    </row>
    <row r="73" spans="1:19" ht="57.6" x14ac:dyDescent="0.3">
      <c r="A73" s="5">
        <v>6105</v>
      </c>
      <c r="B73" s="6" t="s">
        <v>72</v>
      </c>
      <c r="C73" s="7" t="s">
        <v>351</v>
      </c>
      <c r="D73" s="7" t="s">
        <v>351</v>
      </c>
      <c r="E73" s="6" t="s">
        <v>395</v>
      </c>
      <c r="F73" s="8" t="s">
        <v>110</v>
      </c>
      <c r="G73" s="8" t="s">
        <v>124</v>
      </c>
      <c r="H73" s="8" t="s">
        <v>21</v>
      </c>
      <c r="I73" s="8" t="s">
        <v>102</v>
      </c>
      <c r="J73" s="6" t="s">
        <v>352</v>
      </c>
      <c r="K73" s="6" t="s">
        <v>208</v>
      </c>
      <c r="L73" s="6" t="s">
        <v>99</v>
      </c>
      <c r="M73" s="6" t="s">
        <v>26</v>
      </c>
      <c r="N73" s="9">
        <v>92121</v>
      </c>
      <c r="O73" s="38">
        <v>32.882881048155397</v>
      </c>
      <c r="P73" s="38">
        <v>-117.17123420293601</v>
      </c>
      <c r="Q73" s="12"/>
      <c r="R73" s="8"/>
      <c r="S73"/>
    </row>
    <row r="74" spans="1:19" ht="72" x14ac:dyDescent="0.3">
      <c r="A74" s="5">
        <v>6107</v>
      </c>
      <c r="B74" s="6" t="s">
        <v>72</v>
      </c>
      <c r="C74" s="7" t="s">
        <v>353</v>
      </c>
      <c r="D74" s="6" t="s">
        <v>354</v>
      </c>
      <c r="E74" s="6" t="s">
        <v>396</v>
      </c>
      <c r="F74" s="8" t="s">
        <v>86</v>
      </c>
      <c r="G74" s="7" t="s">
        <v>355</v>
      </c>
      <c r="H74" s="8" t="s">
        <v>21</v>
      </c>
      <c r="I74" s="8" t="s">
        <v>96</v>
      </c>
      <c r="J74" s="8" t="s">
        <v>356</v>
      </c>
      <c r="K74" s="8" t="s">
        <v>357</v>
      </c>
      <c r="L74" s="6" t="s">
        <v>99</v>
      </c>
      <c r="M74" s="6" t="s">
        <v>26</v>
      </c>
      <c r="N74" s="6">
        <v>92011</v>
      </c>
      <c r="O74" s="38">
        <v>33.133495010881198</v>
      </c>
      <c r="P74" s="38">
        <v>-117.2802068602</v>
      </c>
      <c r="Q74" s="8"/>
      <c r="R74" s="61"/>
      <c r="S74"/>
    </row>
    <row r="75" spans="1:19" ht="57.6" x14ac:dyDescent="0.3">
      <c r="A75" s="5">
        <v>6108</v>
      </c>
      <c r="B75" s="6" t="s">
        <v>17</v>
      </c>
      <c r="C75" s="7" t="s">
        <v>358</v>
      </c>
      <c r="D75" s="8" t="s">
        <v>359</v>
      </c>
      <c r="E75" s="6" t="s">
        <v>396</v>
      </c>
      <c r="F75" s="8" t="s">
        <v>86</v>
      </c>
      <c r="G75" s="8" t="s">
        <v>38</v>
      </c>
      <c r="H75" s="8" t="s">
        <v>21</v>
      </c>
      <c r="I75" s="8" t="s">
        <v>96</v>
      </c>
      <c r="J75" s="8" t="s">
        <v>185</v>
      </c>
      <c r="K75" s="8" t="s">
        <v>89</v>
      </c>
      <c r="L75" s="6" t="s">
        <v>90</v>
      </c>
      <c r="M75" s="6" t="s">
        <v>26</v>
      </c>
      <c r="N75" s="9">
        <v>73105</v>
      </c>
      <c r="O75" s="38">
        <v>35.376927563295197</v>
      </c>
      <c r="P75" s="38">
        <v>-97.542724362354505</v>
      </c>
      <c r="Q75" s="12"/>
      <c r="R75" s="8"/>
      <c r="S75"/>
    </row>
    <row r="76" spans="1:19" ht="57.6" x14ac:dyDescent="0.3">
      <c r="A76" s="5">
        <v>6110</v>
      </c>
      <c r="B76" s="13" t="s">
        <v>34</v>
      </c>
      <c r="C76" s="7" t="s">
        <v>360</v>
      </c>
      <c r="D76" s="8" t="s">
        <v>361</v>
      </c>
      <c r="E76" s="6" t="s">
        <v>397</v>
      </c>
      <c r="F76" s="8" t="s">
        <v>37</v>
      </c>
      <c r="G76" s="8" t="s">
        <v>20</v>
      </c>
      <c r="H76" s="8" t="s">
        <v>21</v>
      </c>
      <c r="I76" s="8" t="s">
        <v>39</v>
      </c>
      <c r="J76" s="8" t="s">
        <v>362</v>
      </c>
      <c r="K76" s="8" t="s">
        <v>363</v>
      </c>
      <c r="L76" s="6" t="s">
        <v>81</v>
      </c>
      <c r="M76" s="6" t="s">
        <v>26</v>
      </c>
      <c r="N76" s="9">
        <v>30577</v>
      </c>
      <c r="O76" s="38">
        <v>34.579379118476702</v>
      </c>
      <c r="P76" s="38">
        <v>-83.330474673916896</v>
      </c>
      <c r="Q76" s="12"/>
      <c r="R76" s="8"/>
      <c r="S76"/>
    </row>
    <row r="77" spans="1:19" ht="57.6" x14ac:dyDescent="0.3">
      <c r="A77" s="5">
        <v>6111</v>
      </c>
      <c r="B77" s="6" t="s">
        <v>17</v>
      </c>
      <c r="C77" s="7" t="s">
        <v>364</v>
      </c>
      <c r="D77" s="7" t="s">
        <v>364</v>
      </c>
      <c r="E77" s="6" t="s">
        <v>396</v>
      </c>
      <c r="F77" s="8" t="s">
        <v>86</v>
      </c>
      <c r="G77" s="8" t="s">
        <v>122</v>
      </c>
      <c r="H77" s="8" t="s">
        <v>21</v>
      </c>
      <c r="I77" s="8" t="s">
        <v>96</v>
      </c>
      <c r="J77" s="8" t="s">
        <v>365</v>
      </c>
      <c r="K77" s="8" t="s">
        <v>216</v>
      </c>
      <c r="L77" s="6" t="s">
        <v>146</v>
      </c>
      <c r="M77" s="6" t="s">
        <v>26</v>
      </c>
      <c r="N77" s="9">
        <v>49423</v>
      </c>
      <c r="O77" s="38">
        <v>42.775492032651101</v>
      </c>
      <c r="P77" s="38">
        <v>-86.126541304109907</v>
      </c>
      <c r="Q77" s="12"/>
      <c r="R77" s="8"/>
      <c r="S77"/>
    </row>
    <row r="78" spans="1:19" ht="43.2" x14ac:dyDescent="0.3">
      <c r="A78" s="5">
        <v>6112</v>
      </c>
      <c r="B78" s="6" t="s">
        <v>17</v>
      </c>
      <c r="C78" s="7" t="s">
        <v>366</v>
      </c>
      <c r="D78" s="8" t="s">
        <v>367</v>
      </c>
      <c r="E78" s="6" t="s">
        <v>397</v>
      </c>
      <c r="F78" s="8" t="s">
        <v>368</v>
      </c>
      <c r="G78" s="8" t="s">
        <v>38</v>
      </c>
      <c r="H78" s="8" t="s">
        <v>69</v>
      </c>
      <c r="I78" s="8" t="s">
        <v>87</v>
      </c>
      <c r="J78" s="8" t="s">
        <v>369</v>
      </c>
      <c r="K78" s="8" t="s">
        <v>370</v>
      </c>
      <c r="L78" s="6" t="s">
        <v>143</v>
      </c>
      <c r="M78" s="6" t="s">
        <v>26</v>
      </c>
      <c r="N78" s="9">
        <v>27612</v>
      </c>
      <c r="O78" s="38">
        <v>35.829244541798403</v>
      </c>
      <c r="P78" s="38">
        <v>-78.665475075706297</v>
      </c>
      <c r="Q78" s="12"/>
      <c r="R78" s="8"/>
      <c r="S78"/>
    </row>
    <row r="79" spans="1:19" ht="57.6" x14ac:dyDescent="0.3">
      <c r="A79" s="5">
        <v>6113</v>
      </c>
      <c r="B79" s="13" t="s">
        <v>17</v>
      </c>
      <c r="C79" s="7" t="s">
        <v>371</v>
      </c>
      <c r="D79" s="8" t="s">
        <v>372</v>
      </c>
      <c r="F79" s="8" t="s">
        <v>373</v>
      </c>
      <c r="G79" s="8" t="s">
        <v>374</v>
      </c>
      <c r="H79" s="8" t="s">
        <v>21</v>
      </c>
      <c r="I79" s="8" t="s">
        <v>102</v>
      </c>
      <c r="J79" s="8" t="s">
        <v>375</v>
      </c>
      <c r="K79" s="8" t="s">
        <v>213</v>
      </c>
      <c r="L79" s="6" t="s">
        <v>99</v>
      </c>
      <c r="M79" s="6" t="s">
        <v>26</v>
      </c>
      <c r="N79" s="9">
        <v>91762</v>
      </c>
      <c r="O79" s="38">
        <v>34.056759999999997</v>
      </c>
      <c r="P79" s="38">
        <v>-117.68832999999999</v>
      </c>
      <c r="Q79" s="12"/>
      <c r="R79" s="8"/>
      <c r="S79"/>
    </row>
    <row r="80" spans="1:19" ht="28.8" x14ac:dyDescent="0.3">
      <c r="A80" s="5">
        <v>6115</v>
      </c>
      <c r="B80" s="13" t="s">
        <v>17</v>
      </c>
      <c r="C80" s="7" t="s">
        <v>376</v>
      </c>
      <c r="D80" s="8" t="s">
        <v>377</v>
      </c>
      <c r="E80" s="6" t="s">
        <v>397</v>
      </c>
      <c r="F80" s="8" t="s">
        <v>87</v>
      </c>
      <c r="G80" s="8" t="s">
        <v>38</v>
      </c>
      <c r="H80" s="8" t="s">
        <v>21</v>
      </c>
      <c r="I80" s="8" t="s">
        <v>102</v>
      </c>
      <c r="J80" s="8" t="s">
        <v>378</v>
      </c>
      <c r="K80" s="8" t="s">
        <v>228</v>
      </c>
      <c r="L80" s="6" t="s">
        <v>149</v>
      </c>
      <c r="M80" s="6" t="s">
        <v>26</v>
      </c>
      <c r="N80" s="9">
        <v>85043</v>
      </c>
      <c r="O80" s="38">
        <v>33.446742462752198</v>
      </c>
      <c r="P80" s="38">
        <v>-112.184743858578</v>
      </c>
      <c r="Q80" s="12"/>
      <c r="R80" s="8"/>
      <c r="S80"/>
    </row>
    <row r="81" spans="1:19" ht="28.8" x14ac:dyDescent="0.3">
      <c r="A81" s="5">
        <v>6116</v>
      </c>
      <c r="B81" s="13" t="s">
        <v>17</v>
      </c>
      <c r="C81" s="7" t="s">
        <v>376</v>
      </c>
      <c r="D81" s="8" t="s">
        <v>379</v>
      </c>
      <c r="E81" s="6" t="s">
        <v>397</v>
      </c>
      <c r="F81" s="8" t="s">
        <v>87</v>
      </c>
      <c r="G81" s="8" t="s">
        <v>38</v>
      </c>
      <c r="H81" s="8" t="s">
        <v>21</v>
      </c>
      <c r="I81" s="8" t="s">
        <v>102</v>
      </c>
      <c r="J81" s="8" t="s">
        <v>380</v>
      </c>
      <c r="K81" s="8" t="s">
        <v>381</v>
      </c>
      <c r="L81" s="6" t="s">
        <v>170</v>
      </c>
      <c r="M81" s="6" t="s">
        <v>26</v>
      </c>
      <c r="N81" s="9">
        <v>32305</v>
      </c>
      <c r="O81" s="38">
        <v>30.3643280532206</v>
      </c>
      <c r="P81" s="38">
        <v>-84.268821372150398</v>
      </c>
      <c r="Q81" s="12"/>
      <c r="R81" s="8"/>
      <c r="S81"/>
    </row>
    <row r="82" spans="1:19" ht="28.8" x14ac:dyDescent="0.3">
      <c r="A82" s="5">
        <v>6117</v>
      </c>
      <c r="B82" s="13" t="s">
        <v>17</v>
      </c>
      <c r="C82" s="7" t="s">
        <v>376</v>
      </c>
      <c r="D82" s="8" t="s">
        <v>382</v>
      </c>
      <c r="E82" s="6" t="s">
        <v>397</v>
      </c>
      <c r="F82" s="8" t="s">
        <v>87</v>
      </c>
      <c r="G82" s="8" t="s">
        <v>38</v>
      </c>
      <c r="H82" s="8" t="s">
        <v>21</v>
      </c>
      <c r="I82" s="8" t="s">
        <v>102</v>
      </c>
      <c r="J82" s="8" t="s">
        <v>383</v>
      </c>
      <c r="K82" s="8" t="s">
        <v>384</v>
      </c>
      <c r="L82" s="6" t="s">
        <v>78</v>
      </c>
      <c r="M82" s="6" t="s">
        <v>26</v>
      </c>
      <c r="N82" s="62" t="s">
        <v>385</v>
      </c>
      <c r="O82" s="79">
        <v>42.009238861723198</v>
      </c>
      <c r="P82" s="79">
        <v>-71.044783860168195</v>
      </c>
      <c r="Q82" s="12"/>
      <c r="R82" s="8"/>
      <c r="S82"/>
    </row>
    <row r="83" spans="1:19" ht="28.8" x14ac:dyDescent="0.3">
      <c r="A83" s="5">
        <v>6118</v>
      </c>
      <c r="B83" s="13" t="s">
        <v>17</v>
      </c>
      <c r="C83" s="7" t="s">
        <v>376</v>
      </c>
      <c r="D83" s="8" t="s">
        <v>386</v>
      </c>
      <c r="E83" s="6" t="s">
        <v>397</v>
      </c>
      <c r="F83" s="8" t="s">
        <v>87</v>
      </c>
      <c r="G83" s="8" t="s">
        <v>38</v>
      </c>
      <c r="H83" s="8" t="s">
        <v>21</v>
      </c>
      <c r="I83" s="8" t="s">
        <v>102</v>
      </c>
      <c r="J83" s="8" t="s">
        <v>387</v>
      </c>
      <c r="K83" s="8" t="s">
        <v>388</v>
      </c>
      <c r="L83" s="6" t="s">
        <v>221</v>
      </c>
      <c r="M83" s="6" t="s">
        <v>26</v>
      </c>
      <c r="N83" s="9">
        <v>53074</v>
      </c>
      <c r="O83" s="38">
        <v>43.371766962174597</v>
      </c>
      <c r="P83" s="38">
        <v>-87.888637473613798</v>
      </c>
      <c r="Q83" s="12"/>
      <c r="R83" s="8"/>
      <c r="S83"/>
    </row>
    <row r="84" spans="1:19" ht="28.8" x14ac:dyDescent="0.3">
      <c r="A84" s="5">
        <v>6120</v>
      </c>
      <c r="B84" s="13" t="s">
        <v>17</v>
      </c>
      <c r="C84" s="7" t="s">
        <v>376</v>
      </c>
      <c r="D84" s="8" t="s">
        <v>376</v>
      </c>
      <c r="E84" s="6" t="s">
        <v>395</v>
      </c>
      <c r="F84" s="8" t="s">
        <v>389</v>
      </c>
      <c r="G84" s="8" t="s">
        <v>390</v>
      </c>
      <c r="H84" s="8" t="s">
        <v>391</v>
      </c>
      <c r="I84" s="8" t="s">
        <v>102</v>
      </c>
      <c r="J84" s="8" t="s">
        <v>392</v>
      </c>
      <c r="K84" s="8" t="s">
        <v>393</v>
      </c>
      <c r="L84" s="6" t="s">
        <v>78</v>
      </c>
      <c r="M84" s="6" t="s">
        <v>26</v>
      </c>
      <c r="N84" s="9">
        <v>2109</v>
      </c>
      <c r="O84" s="38">
        <v>42.358930000000001</v>
      </c>
      <c r="P84" s="38">
        <v>-71.056319999999999</v>
      </c>
      <c r="Q84" s="12"/>
      <c r="R84" s="8"/>
      <c r="S84"/>
    </row>
    <row r="85" spans="1:19" ht="28.8" x14ac:dyDescent="0.3">
      <c r="A85" s="5">
        <v>6121</v>
      </c>
      <c r="B85" s="6" t="s">
        <v>17</v>
      </c>
      <c r="C85" s="7" t="s">
        <v>394</v>
      </c>
      <c r="D85" s="6" t="s">
        <v>394</v>
      </c>
      <c r="E85" s="6" t="s">
        <v>395</v>
      </c>
      <c r="F85" s="8" t="s">
        <v>28</v>
      </c>
      <c r="G85" s="8" t="s">
        <v>20</v>
      </c>
      <c r="H85" s="8" t="s">
        <v>21</v>
      </c>
      <c r="I85" s="8" t="s">
        <v>102</v>
      </c>
      <c r="J85" s="8" t="s">
        <v>23</v>
      </c>
      <c r="K85" s="8" t="s">
        <v>24</v>
      </c>
      <c r="L85" s="6" t="s">
        <v>25</v>
      </c>
      <c r="M85" s="6" t="s">
        <v>26</v>
      </c>
      <c r="N85" s="9">
        <v>14004</v>
      </c>
      <c r="O85" s="38">
        <v>42.901737138978099</v>
      </c>
      <c r="P85" s="38">
        <v>-79.820416046156197</v>
      </c>
      <c r="Q85" s="12"/>
      <c r="R85" s="8"/>
      <c r="S85"/>
    </row>
    <row r="86" spans="1:19" x14ac:dyDescent="0.3">
      <c r="A86" s="5"/>
      <c r="B86" s="6"/>
      <c r="F86" s="6"/>
      <c r="G86" s="6"/>
      <c r="H86" s="8"/>
      <c r="I86" s="8"/>
      <c r="J86" s="7"/>
      <c r="L86" s="6"/>
      <c r="M86" s="6"/>
      <c r="N86" s="6"/>
      <c r="O86" s="10"/>
      <c r="P86" s="38"/>
      <c r="Q86" s="63"/>
      <c r="S86"/>
    </row>
    <row r="87" spans="1:19" x14ac:dyDescent="0.3">
      <c r="A87" s="5"/>
      <c r="B87" s="6"/>
      <c r="F87" s="6"/>
      <c r="G87" s="6"/>
      <c r="H87" s="8"/>
      <c r="I87" s="8"/>
      <c r="J87" s="7"/>
      <c r="L87" s="6"/>
      <c r="M87" s="6"/>
      <c r="N87" s="6"/>
      <c r="O87" s="10"/>
      <c r="P87" s="38"/>
      <c r="Q87" s="63"/>
      <c r="S87" s="64"/>
    </row>
    <row r="88" spans="1:19" x14ac:dyDescent="0.3">
      <c r="A88" s="5"/>
      <c r="B88" s="6"/>
      <c r="F88" s="6"/>
      <c r="G88" s="6"/>
      <c r="H88" s="8"/>
      <c r="I88" s="8"/>
      <c r="J88" s="7"/>
      <c r="L88" s="6"/>
      <c r="M88" s="6"/>
      <c r="N88" s="6"/>
      <c r="O88" s="10"/>
      <c r="P88" s="38"/>
      <c r="Q88" s="63"/>
      <c r="S88" s="64"/>
    </row>
    <row r="89" spans="1:19" x14ac:dyDescent="0.3">
      <c r="A89" s="5"/>
      <c r="B89" s="6"/>
      <c r="F89" s="6"/>
      <c r="G89" s="6"/>
      <c r="H89" s="8"/>
      <c r="I89" s="8"/>
      <c r="J89" s="7"/>
      <c r="L89" s="6"/>
      <c r="M89" s="6"/>
      <c r="N89" s="6"/>
      <c r="O89" s="10"/>
      <c r="P89" s="38"/>
      <c r="Q89" s="63"/>
      <c r="S89" s="64"/>
    </row>
    <row r="90" spans="1:19" x14ac:dyDescent="0.3">
      <c r="A90" s="5"/>
      <c r="B90" s="6"/>
      <c r="F90" s="6"/>
      <c r="G90" s="6"/>
      <c r="H90" s="8"/>
      <c r="I90" s="8"/>
      <c r="J90" s="7"/>
      <c r="L90" s="6"/>
      <c r="M90" s="6"/>
      <c r="N90" s="6"/>
      <c r="O90" s="10"/>
      <c r="P90" s="38"/>
      <c r="Q90" s="63"/>
      <c r="S90" s="64"/>
    </row>
    <row r="91" spans="1:19" x14ac:dyDescent="0.3">
      <c r="A91" s="5"/>
      <c r="B91" s="6"/>
      <c r="F91" s="6"/>
      <c r="G91" s="6"/>
      <c r="H91" s="8"/>
      <c r="I91" s="8"/>
      <c r="J91" s="7"/>
      <c r="L91" s="6"/>
      <c r="M91" s="6"/>
      <c r="N91" s="6"/>
      <c r="O91" s="10"/>
      <c r="P91" s="38"/>
      <c r="Q91" s="63"/>
      <c r="S91" s="64"/>
    </row>
    <row r="92" spans="1:19" x14ac:dyDescent="0.3">
      <c r="A92" s="5"/>
      <c r="B92" s="6"/>
      <c r="F92" s="6"/>
      <c r="G92" s="6"/>
      <c r="H92" s="8"/>
      <c r="I92" s="8"/>
      <c r="J92" s="7"/>
      <c r="L92" s="6"/>
      <c r="M92" s="6"/>
      <c r="N92" s="6"/>
      <c r="O92" s="10"/>
      <c r="P92" s="38"/>
      <c r="Q92" s="63"/>
      <c r="S92" s="64"/>
    </row>
    <row r="93" spans="1:19" x14ac:dyDescent="0.3">
      <c r="A93" s="5"/>
      <c r="B93" s="6"/>
      <c r="F93" s="6"/>
      <c r="G93" s="6"/>
      <c r="H93" s="8"/>
      <c r="I93" s="8"/>
      <c r="J93" s="7"/>
      <c r="L93" s="6"/>
      <c r="M93" s="6"/>
      <c r="N93" s="6"/>
      <c r="O93" s="10"/>
      <c r="P93" s="38"/>
      <c r="Q93" s="63"/>
      <c r="S93" s="64"/>
    </row>
    <row r="94" spans="1:19" x14ac:dyDescent="0.3">
      <c r="A94" s="5"/>
      <c r="B94" s="6"/>
      <c r="F94" s="6"/>
      <c r="G94" s="6"/>
      <c r="H94" s="8"/>
      <c r="I94" s="8"/>
      <c r="J94" s="7"/>
      <c r="L94" s="6"/>
      <c r="M94" s="6"/>
      <c r="N94" s="6"/>
      <c r="O94" s="10"/>
      <c r="P94" s="38"/>
      <c r="Q94" s="63"/>
      <c r="S94" s="64"/>
    </row>
    <row r="95" spans="1:19" x14ac:dyDescent="0.3">
      <c r="A95" s="5"/>
      <c r="B95" s="6"/>
      <c r="F95" s="6"/>
      <c r="G95" s="6"/>
      <c r="H95" s="8"/>
      <c r="I95" s="8"/>
      <c r="J95" s="7"/>
      <c r="L95" s="6"/>
      <c r="M95" s="6"/>
      <c r="N95" s="6"/>
      <c r="O95" s="10"/>
      <c r="P95" s="38"/>
      <c r="Q95" s="63"/>
      <c r="S95" s="64"/>
    </row>
    <row r="96" spans="1:19" x14ac:dyDescent="0.3">
      <c r="A96" s="5"/>
      <c r="B96" s="6"/>
      <c r="F96" s="6"/>
      <c r="G96" s="6"/>
      <c r="H96" s="8"/>
      <c r="I96" s="8"/>
      <c r="J96" s="7"/>
      <c r="L96" s="6"/>
      <c r="M96" s="6"/>
      <c r="N96" s="6"/>
      <c r="O96" s="10"/>
      <c r="P96" s="38"/>
      <c r="Q96" s="63"/>
      <c r="S96" s="64"/>
    </row>
    <row r="97" spans="1:19" x14ac:dyDescent="0.3">
      <c r="A97" s="5"/>
      <c r="B97" s="6"/>
      <c r="F97" s="6"/>
      <c r="G97" s="6"/>
      <c r="H97" s="8"/>
      <c r="I97" s="8"/>
      <c r="J97" s="7"/>
      <c r="L97" s="6"/>
      <c r="M97" s="6"/>
      <c r="N97" s="6"/>
      <c r="O97" s="10"/>
      <c r="P97" s="38"/>
      <c r="Q97" s="63"/>
      <c r="S97" s="64"/>
    </row>
    <row r="98" spans="1:19" x14ac:dyDescent="0.3">
      <c r="A98" s="5"/>
      <c r="B98" s="6"/>
      <c r="F98" s="6"/>
      <c r="G98" s="6"/>
      <c r="H98" s="8"/>
      <c r="I98" s="8"/>
      <c r="J98" s="7"/>
      <c r="L98" s="6"/>
      <c r="M98" s="6"/>
      <c r="N98" s="6"/>
      <c r="O98" s="10"/>
      <c r="P98" s="38"/>
      <c r="Q98" s="63"/>
      <c r="S98" s="64"/>
    </row>
    <row r="99" spans="1:19" x14ac:dyDescent="0.3">
      <c r="A99" s="5"/>
      <c r="B99" s="6"/>
      <c r="F99" s="6"/>
      <c r="G99" s="6"/>
      <c r="H99" s="8"/>
      <c r="I99" s="8"/>
      <c r="J99" s="7"/>
      <c r="L99" s="6"/>
      <c r="M99" s="6"/>
      <c r="N99" s="6"/>
      <c r="O99" s="10"/>
      <c r="P99" s="38"/>
      <c r="Q99" s="63"/>
      <c r="S99" s="64"/>
    </row>
    <row r="100" spans="1:19" x14ac:dyDescent="0.3">
      <c r="A100" s="5"/>
      <c r="B100" s="6"/>
      <c r="F100" s="6"/>
      <c r="G100" s="6"/>
      <c r="H100" s="8"/>
      <c r="I100" s="8"/>
      <c r="J100" s="7"/>
      <c r="L100" s="6"/>
      <c r="M100" s="6"/>
      <c r="N100" s="6"/>
      <c r="O100" s="10"/>
      <c r="P100" s="38"/>
      <c r="Q100" s="63"/>
      <c r="S100" s="64"/>
    </row>
    <row r="101" spans="1:19" x14ac:dyDescent="0.3">
      <c r="A101" s="5"/>
      <c r="B101" s="6"/>
      <c r="F101" s="6"/>
      <c r="G101" s="6"/>
      <c r="H101" s="8"/>
      <c r="I101" s="8"/>
      <c r="J101" s="7"/>
      <c r="L101" s="6"/>
      <c r="M101" s="6"/>
      <c r="N101" s="6"/>
      <c r="O101" s="10"/>
      <c r="P101" s="38"/>
      <c r="Q101" s="63"/>
      <c r="S101" s="64"/>
    </row>
    <row r="102" spans="1:19" x14ac:dyDescent="0.3">
      <c r="A102" s="5"/>
      <c r="B102" s="6"/>
      <c r="F102" s="6"/>
      <c r="G102" s="6"/>
      <c r="H102" s="8"/>
      <c r="I102" s="8"/>
      <c r="J102" s="7"/>
      <c r="L102" s="6"/>
      <c r="M102" s="6"/>
      <c r="N102" s="6"/>
      <c r="O102" s="10"/>
      <c r="P102" s="38"/>
      <c r="Q102" s="63"/>
      <c r="S102" s="64"/>
    </row>
    <row r="103" spans="1:19" x14ac:dyDescent="0.3">
      <c r="A103" s="5"/>
      <c r="B103" s="6"/>
      <c r="F103" s="6"/>
      <c r="G103" s="6"/>
      <c r="H103" s="8"/>
      <c r="I103" s="8"/>
      <c r="J103" s="7"/>
      <c r="L103" s="6"/>
      <c r="M103" s="6"/>
      <c r="N103" s="6"/>
      <c r="O103" s="10"/>
      <c r="P103" s="38"/>
      <c r="Q103" s="63"/>
      <c r="S103" s="64"/>
    </row>
    <row r="104" spans="1:19" x14ac:dyDescent="0.3">
      <c r="A104" s="5"/>
      <c r="B104" s="6"/>
      <c r="F104" s="6"/>
      <c r="G104" s="6"/>
      <c r="H104" s="8"/>
      <c r="I104" s="8"/>
      <c r="J104" s="7"/>
      <c r="L104" s="6"/>
      <c r="M104" s="6"/>
      <c r="N104" s="6"/>
      <c r="O104" s="10"/>
      <c r="P104" s="38"/>
      <c r="Q104" s="63"/>
      <c r="S104" s="64"/>
    </row>
    <row r="105" spans="1:19" x14ac:dyDescent="0.3">
      <c r="A105" s="5"/>
      <c r="B105" s="6"/>
      <c r="F105" s="6"/>
      <c r="G105" s="6"/>
      <c r="H105" s="8"/>
      <c r="I105" s="8"/>
      <c r="J105" s="7"/>
      <c r="L105" s="6"/>
      <c r="M105" s="6"/>
      <c r="N105" s="6"/>
      <c r="O105" s="10"/>
      <c r="P105" s="38"/>
      <c r="Q105" s="63"/>
      <c r="S105" s="64"/>
    </row>
    <row r="106" spans="1:19" x14ac:dyDescent="0.3">
      <c r="A106" s="5"/>
      <c r="B106" s="6"/>
      <c r="F106" s="6"/>
      <c r="G106" s="6"/>
      <c r="H106" s="8"/>
      <c r="I106" s="8"/>
      <c r="J106" s="7"/>
      <c r="L106" s="6"/>
      <c r="M106" s="6"/>
      <c r="N106" s="6"/>
      <c r="O106" s="10"/>
      <c r="P106" s="38"/>
      <c r="Q106" s="63"/>
      <c r="S106" s="64"/>
    </row>
    <row r="107" spans="1:19" x14ac:dyDescent="0.3">
      <c r="A107" s="5"/>
      <c r="B107" s="6"/>
      <c r="F107" s="6"/>
      <c r="G107" s="6"/>
      <c r="H107" s="8"/>
      <c r="I107" s="8"/>
      <c r="J107" s="7"/>
      <c r="L107" s="6"/>
      <c r="M107" s="6"/>
      <c r="N107" s="6"/>
      <c r="O107" s="10"/>
      <c r="P107" s="38"/>
      <c r="Q107" s="63"/>
      <c r="S107" s="64"/>
    </row>
    <row r="108" spans="1:19" x14ac:dyDescent="0.3">
      <c r="A108" s="5"/>
      <c r="B108" s="6"/>
      <c r="F108" s="6"/>
      <c r="G108" s="6"/>
      <c r="H108" s="8"/>
      <c r="I108" s="8"/>
      <c r="J108" s="7"/>
      <c r="L108" s="6"/>
      <c r="M108" s="6"/>
      <c r="N108" s="6"/>
      <c r="O108" s="10"/>
      <c r="P108" s="38"/>
      <c r="Q108" s="63"/>
      <c r="S108" s="64"/>
    </row>
    <row r="109" spans="1:19" x14ac:dyDescent="0.3">
      <c r="A109" s="5"/>
      <c r="B109" s="6"/>
      <c r="F109" s="6"/>
      <c r="G109" s="6"/>
      <c r="H109" s="8"/>
      <c r="I109" s="8"/>
      <c r="J109" s="7"/>
      <c r="L109" s="6"/>
      <c r="M109" s="6"/>
      <c r="N109" s="6"/>
      <c r="O109" s="10"/>
      <c r="P109" s="38"/>
      <c r="Q109" s="63"/>
      <c r="S109" s="64"/>
    </row>
    <row r="110" spans="1:19" x14ac:dyDescent="0.3">
      <c r="A110" s="5"/>
      <c r="B110" s="6"/>
      <c r="F110" s="6"/>
      <c r="G110" s="6"/>
      <c r="H110" s="8"/>
      <c r="I110" s="8"/>
      <c r="J110" s="7"/>
      <c r="L110" s="6"/>
      <c r="M110" s="6"/>
      <c r="N110" s="6"/>
      <c r="O110" s="10"/>
      <c r="P110" s="38"/>
      <c r="Q110" s="63"/>
      <c r="S110" s="64"/>
    </row>
    <row r="111" spans="1:19" x14ac:dyDescent="0.3">
      <c r="A111" s="5"/>
      <c r="B111" s="6"/>
      <c r="F111" s="6"/>
      <c r="G111" s="6"/>
      <c r="H111" s="8"/>
      <c r="I111" s="8"/>
      <c r="J111" s="7"/>
      <c r="L111" s="6"/>
      <c r="M111" s="6"/>
      <c r="N111" s="6"/>
      <c r="O111" s="10"/>
      <c r="P111" s="38"/>
      <c r="Q111" s="63"/>
      <c r="S111" s="64"/>
    </row>
    <row r="112" spans="1:19" x14ac:dyDescent="0.3">
      <c r="A112" s="5"/>
      <c r="B112" s="6"/>
      <c r="F112" s="6"/>
      <c r="G112" s="6"/>
      <c r="H112" s="8"/>
      <c r="I112" s="8"/>
      <c r="J112" s="7"/>
      <c r="L112" s="6"/>
      <c r="M112" s="6"/>
      <c r="N112" s="6"/>
      <c r="O112" s="10"/>
      <c r="P112" s="38"/>
      <c r="Q112" s="63"/>
      <c r="S112" s="64"/>
    </row>
    <row r="113" spans="1:19" x14ac:dyDescent="0.3">
      <c r="A113" s="5"/>
      <c r="B113" s="6"/>
      <c r="F113" s="6"/>
      <c r="G113" s="6"/>
      <c r="H113" s="8"/>
      <c r="I113" s="8"/>
      <c r="J113" s="7"/>
      <c r="L113" s="6"/>
      <c r="M113" s="6"/>
      <c r="N113" s="6"/>
      <c r="O113" s="10"/>
      <c r="P113" s="38"/>
      <c r="Q113" s="63"/>
      <c r="S113" s="64"/>
    </row>
    <row r="114" spans="1:19" x14ac:dyDescent="0.3">
      <c r="A114" s="5"/>
      <c r="B114" s="6"/>
      <c r="F114" s="6"/>
      <c r="G114" s="6"/>
      <c r="H114" s="8"/>
      <c r="I114" s="8"/>
      <c r="J114" s="7"/>
      <c r="L114" s="6"/>
      <c r="M114" s="6"/>
      <c r="N114" s="6"/>
      <c r="O114" s="10"/>
      <c r="P114" s="38"/>
      <c r="Q114" s="63"/>
      <c r="S114" s="64"/>
    </row>
    <row r="115" spans="1:19" x14ac:dyDescent="0.3">
      <c r="A115" s="5"/>
      <c r="B115" s="6"/>
      <c r="F115" s="6"/>
      <c r="G115" s="6"/>
      <c r="H115" s="8"/>
      <c r="I115" s="8"/>
      <c r="J115" s="7"/>
      <c r="L115" s="6"/>
      <c r="M115" s="6"/>
      <c r="N115" s="6"/>
      <c r="O115" s="10"/>
      <c r="P115" s="38"/>
      <c r="Q115" s="63"/>
      <c r="S115" s="64"/>
    </row>
    <row r="116" spans="1:19" x14ac:dyDescent="0.3">
      <c r="A116" s="5"/>
      <c r="B116" s="6"/>
      <c r="F116" s="6"/>
      <c r="G116" s="6"/>
      <c r="H116" s="8"/>
      <c r="I116" s="8"/>
      <c r="J116" s="7"/>
      <c r="L116" s="6"/>
      <c r="M116" s="6"/>
      <c r="N116" s="6"/>
      <c r="O116" s="10"/>
      <c r="P116" s="38"/>
      <c r="Q116" s="63"/>
      <c r="S116" s="64"/>
    </row>
    <row r="117" spans="1:19" x14ac:dyDescent="0.3">
      <c r="A117" s="5"/>
      <c r="B117" s="6"/>
      <c r="F117" s="6"/>
      <c r="G117" s="6"/>
      <c r="H117" s="8"/>
      <c r="I117" s="8"/>
      <c r="J117" s="7"/>
      <c r="L117" s="6"/>
      <c r="M117" s="6"/>
      <c r="N117" s="6"/>
      <c r="O117" s="10"/>
      <c r="P117" s="38"/>
      <c r="Q117" s="63"/>
      <c r="S117" s="64"/>
    </row>
    <row r="118" spans="1:19" x14ac:dyDescent="0.3">
      <c r="A118" s="5"/>
      <c r="B118" s="6"/>
      <c r="F118" s="6"/>
      <c r="G118" s="6"/>
      <c r="H118" s="8"/>
      <c r="I118" s="8"/>
      <c r="J118" s="7"/>
      <c r="L118" s="6"/>
      <c r="M118" s="6"/>
      <c r="N118" s="6"/>
      <c r="O118" s="10"/>
      <c r="P118" s="38"/>
      <c r="Q118" s="63"/>
      <c r="S118" s="64"/>
    </row>
    <row r="119" spans="1:19" x14ac:dyDescent="0.3">
      <c r="A119" s="5"/>
      <c r="B119" s="6"/>
      <c r="F119" s="6"/>
      <c r="G119" s="6"/>
      <c r="H119" s="8"/>
      <c r="I119" s="8"/>
      <c r="J119" s="7"/>
      <c r="L119" s="6"/>
      <c r="M119" s="6"/>
      <c r="N119" s="6"/>
      <c r="O119" s="10"/>
      <c r="P119" s="38"/>
      <c r="Q119" s="63"/>
      <c r="S119" s="64"/>
    </row>
    <row r="120" spans="1:19" x14ac:dyDescent="0.3">
      <c r="A120" s="5"/>
      <c r="B120" s="6"/>
      <c r="F120" s="6"/>
      <c r="G120" s="6"/>
      <c r="H120" s="8"/>
      <c r="I120" s="8"/>
      <c r="J120" s="7"/>
      <c r="L120" s="6"/>
      <c r="M120" s="6"/>
      <c r="N120" s="6"/>
      <c r="O120" s="10"/>
      <c r="P120" s="38"/>
      <c r="Q120" s="63"/>
      <c r="S120" s="64"/>
    </row>
    <row r="121" spans="1:19" x14ac:dyDescent="0.3">
      <c r="A121" s="5"/>
      <c r="B121" s="6"/>
      <c r="F121" s="6"/>
      <c r="G121" s="6"/>
      <c r="H121" s="8"/>
      <c r="I121" s="8"/>
      <c r="J121" s="7"/>
      <c r="L121" s="6"/>
      <c r="M121" s="6"/>
      <c r="N121" s="6"/>
      <c r="O121" s="10"/>
      <c r="P121" s="38"/>
      <c r="Q121" s="63"/>
      <c r="S121" s="64"/>
    </row>
    <row r="122" spans="1:19" x14ac:dyDescent="0.3">
      <c r="A122" s="5"/>
      <c r="B122" s="6"/>
      <c r="F122" s="6"/>
      <c r="G122" s="6"/>
      <c r="H122" s="8"/>
      <c r="I122" s="8"/>
      <c r="J122" s="7"/>
      <c r="L122" s="6"/>
      <c r="M122" s="6"/>
      <c r="N122" s="6"/>
      <c r="O122" s="10"/>
      <c r="P122" s="38"/>
      <c r="Q122" s="63"/>
      <c r="S122" s="64"/>
    </row>
    <row r="123" spans="1:19" x14ac:dyDescent="0.3">
      <c r="A123" s="5"/>
      <c r="B123" s="6"/>
      <c r="F123" s="6"/>
      <c r="G123" s="6"/>
      <c r="H123" s="8"/>
      <c r="I123" s="8"/>
      <c r="J123" s="7"/>
      <c r="L123" s="6"/>
      <c r="M123" s="6"/>
      <c r="N123" s="6"/>
      <c r="O123" s="10"/>
      <c r="P123" s="38"/>
      <c r="Q123" s="63"/>
      <c r="S123" s="64"/>
    </row>
    <row r="124" spans="1:19" x14ac:dyDescent="0.3">
      <c r="A124" s="5"/>
      <c r="B124" s="6"/>
      <c r="F124" s="6"/>
      <c r="G124" s="6"/>
      <c r="H124" s="8"/>
      <c r="I124" s="8"/>
      <c r="J124" s="7"/>
      <c r="L124" s="6"/>
      <c r="M124" s="6"/>
      <c r="N124" s="6"/>
      <c r="O124" s="10"/>
      <c r="P124" s="38"/>
      <c r="Q124" s="63"/>
      <c r="S124" s="64"/>
    </row>
    <row r="125" spans="1:19" x14ac:dyDescent="0.3">
      <c r="A125" s="5"/>
      <c r="B125" s="6"/>
      <c r="F125" s="6"/>
      <c r="G125" s="6"/>
      <c r="H125" s="8"/>
      <c r="I125" s="8"/>
      <c r="J125" s="7"/>
      <c r="L125" s="6"/>
      <c r="M125" s="6"/>
      <c r="N125" s="6"/>
      <c r="O125" s="10"/>
      <c r="P125" s="38"/>
      <c r="Q125" s="63"/>
      <c r="S125" s="64"/>
    </row>
    <row r="126" spans="1:19" x14ac:dyDescent="0.3">
      <c r="A126" s="5"/>
      <c r="B126" s="6"/>
      <c r="F126" s="6"/>
      <c r="G126" s="6"/>
      <c r="H126" s="8"/>
      <c r="I126" s="8"/>
      <c r="J126" s="7"/>
      <c r="L126" s="6"/>
      <c r="M126" s="6"/>
      <c r="N126" s="6"/>
      <c r="O126" s="10"/>
      <c r="P126" s="38"/>
      <c r="Q126" s="63"/>
      <c r="S126" s="64"/>
    </row>
    <row r="127" spans="1:19" x14ac:dyDescent="0.3">
      <c r="A127" s="5"/>
      <c r="B127" s="6"/>
      <c r="F127" s="6"/>
      <c r="G127" s="6"/>
      <c r="H127" s="8"/>
      <c r="I127" s="8"/>
      <c r="J127" s="7"/>
      <c r="L127" s="6"/>
      <c r="M127" s="6"/>
      <c r="N127" s="6"/>
      <c r="O127" s="10"/>
      <c r="P127" s="38"/>
      <c r="Q127" s="63"/>
      <c r="S127" s="64"/>
    </row>
    <row r="128" spans="1:19" x14ac:dyDescent="0.3">
      <c r="A128" s="5"/>
      <c r="B128" s="6"/>
      <c r="F128" s="6"/>
      <c r="G128" s="6"/>
      <c r="H128" s="8"/>
      <c r="I128" s="8"/>
      <c r="J128" s="7"/>
      <c r="L128" s="6"/>
      <c r="M128" s="6"/>
      <c r="N128" s="6"/>
      <c r="O128" s="10"/>
      <c r="P128" s="38"/>
      <c r="Q128" s="63"/>
      <c r="S128" s="64"/>
    </row>
    <row r="129" spans="1:19" x14ac:dyDescent="0.3">
      <c r="A129" s="5"/>
      <c r="B129" s="6"/>
      <c r="F129" s="6"/>
      <c r="G129" s="6"/>
      <c r="H129" s="8"/>
      <c r="I129" s="8"/>
      <c r="J129" s="7"/>
      <c r="L129" s="6"/>
      <c r="M129" s="6"/>
      <c r="N129" s="6"/>
      <c r="O129" s="10"/>
      <c r="P129" s="38"/>
      <c r="Q129" s="63"/>
      <c r="S129" s="64"/>
    </row>
    <row r="130" spans="1:19" x14ac:dyDescent="0.3">
      <c r="A130" s="5"/>
      <c r="B130" s="6"/>
      <c r="F130" s="6"/>
      <c r="G130" s="6"/>
      <c r="H130" s="8"/>
      <c r="I130" s="8"/>
      <c r="J130" s="7"/>
      <c r="L130" s="6"/>
      <c r="M130" s="6"/>
      <c r="N130" s="6"/>
      <c r="O130" s="10"/>
      <c r="P130" s="38"/>
      <c r="Q130" s="63"/>
      <c r="S130" s="64"/>
    </row>
    <row r="131" spans="1:19" x14ac:dyDescent="0.3">
      <c r="A131" s="5"/>
      <c r="B131" s="6"/>
      <c r="F131" s="6"/>
      <c r="G131" s="6"/>
      <c r="H131" s="8"/>
      <c r="I131" s="8"/>
      <c r="J131" s="7"/>
      <c r="L131" s="6"/>
      <c r="M131" s="6"/>
      <c r="N131" s="6"/>
      <c r="O131" s="10"/>
      <c r="P131" s="38"/>
      <c r="Q131" s="63"/>
      <c r="S131" s="64"/>
    </row>
    <row r="132" spans="1:19" x14ac:dyDescent="0.3">
      <c r="A132" s="5"/>
      <c r="B132" s="6"/>
      <c r="F132" s="6"/>
      <c r="G132" s="6"/>
      <c r="H132" s="8"/>
      <c r="I132" s="8"/>
      <c r="J132" s="7"/>
      <c r="L132" s="6"/>
      <c r="M132" s="6"/>
      <c r="N132" s="6"/>
      <c r="O132" s="10"/>
      <c r="P132" s="38"/>
      <c r="Q132" s="63"/>
      <c r="S132" s="64"/>
    </row>
    <row r="133" spans="1:19" x14ac:dyDescent="0.3">
      <c r="A133" s="5"/>
      <c r="B133" s="6"/>
      <c r="F133" s="6"/>
      <c r="G133" s="6"/>
      <c r="H133" s="8"/>
      <c r="I133" s="8"/>
      <c r="J133" s="7"/>
      <c r="L133" s="6"/>
      <c r="M133" s="6"/>
      <c r="N133" s="6"/>
      <c r="O133" s="10"/>
      <c r="P133" s="38"/>
      <c r="Q133" s="63"/>
      <c r="S133" s="64"/>
    </row>
    <row r="134" spans="1:19" x14ac:dyDescent="0.3">
      <c r="S134" s="64"/>
    </row>
  </sheetData>
  <conditionalFormatting sqref="P2:P5 P7:P68 P72 P74:P82 Q83:Q84 P85">
    <cfRule type="cellIs" dxfId="1" priority="1" operator="greaterThan">
      <formula>1</formula>
    </cfRule>
  </conditionalFormatting>
  <dataValidations count="4">
    <dataValidation type="list" allowBlank="1" showInputMessage="1" showErrorMessage="1" sqref="F83" xr:uid="{FD5C35CA-B922-4B9C-BBED-48664C8BBFB7}">
      <formula1>IF(#REF!="Housing",Housing_Type,IF(#REF!="Electrode materials",Electrode_Material,""))</formula1>
    </dataValidation>
    <dataValidation type="list" allowBlank="1" showInputMessage="1" showErrorMessage="1" sqref="G83" xr:uid="{F8D88F2A-5EB4-4BFE-BB09-5BF5F58238AC}">
      <formula1>IF(F83="Cathode",Cathode_Raw_Matl,IF(F83="Anode",Anode_Raw_Matl,IF(F83="Liquid electrolyte",Liquid_Electrolyte,IF(F83="Solid electrolyte",Solid_Electrolyte,IF(F83="Current collectors",Current_Collectors,"")))))</formula1>
    </dataValidation>
    <dataValidation type="list" allowBlank="1" showInputMessage="1" showErrorMessage="1" sqref="F63:G63 F72 F2:F14 F56:F59 F16:F53" xr:uid="{374A60BE-F533-4B46-83C2-BE99E199E80F}">
      <formula1>EOL_Facilities</formula1>
    </dataValidation>
    <dataValidation type="list" allowBlank="1" showInputMessage="1" showErrorMessage="1" sqref="H72:I72 I52:J54 H69:H71 H73 H2:I51" xr:uid="{EB8E3A29-92F3-479A-BEE9-E6BDC9FC082B}">
      <formula1>EOL_Products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324D-3DE8-4D0B-9E72-C21553B8A112}">
  <dimension ref="A1:J134"/>
  <sheetViews>
    <sheetView tabSelected="1" workbookViewId="0">
      <selection activeCell="B1" sqref="B1"/>
    </sheetView>
  </sheetViews>
  <sheetFormatPr defaultRowHeight="14.4" x14ac:dyDescent="0.3"/>
  <cols>
    <col min="1" max="1" width="31" style="8" customWidth="1"/>
    <col min="2" max="2" width="31" style="6" customWidth="1"/>
    <col min="3" max="3" width="23.6640625" style="8" customWidth="1"/>
    <col min="4" max="4" width="10.33203125" style="42" customWidth="1"/>
    <col min="5" max="5" width="10.44140625" style="42" customWidth="1"/>
    <col min="6" max="6" width="14.33203125" style="66" customWidth="1"/>
    <col min="7" max="7" width="14.33203125" style="49" customWidth="1"/>
    <col min="8" max="8" width="10.33203125" style="67" customWidth="1"/>
    <col min="9" max="9" width="8.88671875" style="64"/>
    <col min="10" max="10" width="12.6640625" style="68" customWidth="1"/>
  </cols>
  <sheetData>
    <row r="1" spans="1:10" ht="43.2" x14ac:dyDescent="0.3">
      <c r="A1" s="2" t="s">
        <v>3</v>
      </c>
      <c r="B1" s="69" t="s">
        <v>399</v>
      </c>
      <c r="C1" s="2" t="s">
        <v>9</v>
      </c>
      <c r="D1" s="2" t="s">
        <v>10</v>
      </c>
      <c r="E1" s="2" t="s">
        <v>11</v>
      </c>
      <c r="F1" s="73" t="s">
        <v>13</v>
      </c>
      <c r="G1" s="73" t="s">
        <v>14</v>
      </c>
      <c r="H1" s="4" t="s">
        <v>15</v>
      </c>
      <c r="I1" s="2" t="s">
        <v>16</v>
      </c>
      <c r="J1"/>
    </row>
    <row r="2" spans="1:10" x14ac:dyDescent="0.3">
      <c r="A2" s="6" t="s">
        <v>18</v>
      </c>
      <c r="B2" s="6" t="s">
        <v>395</v>
      </c>
      <c r="C2" s="8" t="s">
        <v>24</v>
      </c>
      <c r="D2" s="6" t="s">
        <v>25</v>
      </c>
      <c r="E2" s="6" t="s">
        <v>26</v>
      </c>
      <c r="F2" s="38">
        <v>42.901737138978099</v>
      </c>
      <c r="G2" s="38">
        <v>-78.492432415745299</v>
      </c>
      <c r="H2" s="12"/>
      <c r="I2" s="8"/>
      <c r="J2"/>
    </row>
    <row r="3" spans="1:10" x14ac:dyDescent="0.3">
      <c r="A3" s="8" t="s">
        <v>27</v>
      </c>
      <c r="B3" s="6" t="s">
        <v>395</v>
      </c>
      <c r="C3" s="8" t="s">
        <v>31</v>
      </c>
      <c r="D3" s="6" t="s">
        <v>32</v>
      </c>
      <c r="E3" s="6" t="s">
        <v>26</v>
      </c>
      <c r="F3" s="38">
        <v>40.134000839783603</v>
      </c>
      <c r="G3" s="38">
        <v>-75.490977246160298</v>
      </c>
      <c r="H3" s="12"/>
      <c r="I3" s="8"/>
      <c r="J3"/>
    </row>
    <row r="4" spans="1:10" ht="43.2" x14ac:dyDescent="0.3">
      <c r="A4" s="8" t="s">
        <v>36</v>
      </c>
      <c r="B4" s="6" t="s">
        <v>397</v>
      </c>
      <c r="C4" s="8" t="s">
        <v>41</v>
      </c>
      <c r="D4" s="6" t="s">
        <v>42</v>
      </c>
      <c r="E4" s="6" t="s">
        <v>26</v>
      </c>
      <c r="F4" s="38">
        <v>29.738780228075999</v>
      </c>
      <c r="G4" s="38">
        <v>-95.46280047546</v>
      </c>
      <c r="H4" s="12">
        <v>20000</v>
      </c>
      <c r="I4" s="8" t="s">
        <v>43</v>
      </c>
      <c r="J4"/>
    </row>
    <row r="5" spans="1:10" x14ac:dyDescent="0.3">
      <c r="A5" s="7" t="s">
        <v>49</v>
      </c>
      <c r="B5" s="6" t="s">
        <v>397</v>
      </c>
      <c r="C5" s="7" t="s">
        <v>53</v>
      </c>
      <c r="D5" s="18" t="s">
        <v>42</v>
      </c>
      <c r="E5" s="18" t="s">
        <v>26</v>
      </c>
      <c r="F5" s="74">
        <v>28.954994530350302</v>
      </c>
      <c r="G5" s="74">
        <v>-95.338342746992595</v>
      </c>
      <c r="H5" s="19"/>
      <c r="I5" s="20"/>
      <c r="J5"/>
    </row>
    <row r="6" spans="1:10" x14ac:dyDescent="0.3">
      <c r="A6" s="8" t="s">
        <v>56</v>
      </c>
      <c r="B6" s="6" t="s">
        <v>397</v>
      </c>
      <c r="C6" s="8" t="s">
        <v>59</v>
      </c>
      <c r="D6" s="6" t="s">
        <v>60</v>
      </c>
      <c r="E6" s="6" t="s">
        <v>26</v>
      </c>
      <c r="F6" s="38">
        <v>39.612953370472098</v>
      </c>
      <c r="G6" s="38">
        <v>-119.25133227375601</v>
      </c>
      <c r="H6" s="12">
        <v>20000</v>
      </c>
      <c r="I6" s="8" t="s">
        <v>61</v>
      </c>
      <c r="J6"/>
    </row>
    <row r="7" spans="1:10" x14ac:dyDescent="0.3">
      <c r="A7" s="24" t="s">
        <v>62</v>
      </c>
      <c r="B7" s="22" t="s">
        <v>397</v>
      </c>
      <c r="C7" s="24" t="s">
        <v>65</v>
      </c>
      <c r="D7" s="22" t="s">
        <v>66</v>
      </c>
      <c r="E7" s="22" t="s">
        <v>26</v>
      </c>
      <c r="F7" s="26">
        <v>34.730730000000001</v>
      </c>
      <c r="G7" s="26">
        <v>-83.005750000000006</v>
      </c>
      <c r="H7" s="27"/>
      <c r="I7" s="24"/>
      <c r="J7"/>
    </row>
    <row r="8" spans="1:10" x14ac:dyDescent="0.3">
      <c r="A8" s="8" t="s">
        <v>68</v>
      </c>
      <c r="B8" s="6" t="s">
        <v>397</v>
      </c>
      <c r="C8" s="8" t="s">
        <v>71</v>
      </c>
      <c r="D8" s="6" t="s">
        <v>60</v>
      </c>
      <c r="E8" s="6" t="s">
        <v>26</v>
      </c>
      <c r="F8" s="38">
        <v>39.470046808205602</v>
      </c>
      <c r="G8" s="38">
        <v>-119.790953497863</v>
      </c>
      <c r="H8" s="12">
        <v>10000</v>
      </c>
      <c r="I8" s="8" t="s">
        <v>61</v>
      </c>
      <c r="J8"/>
    </row>
    <row r="9" spans="1:10" x14ac:dyDescent="0.3">
      <c r="A9" s="8" t="s">
        <v>73</v>
      </c>
      <c r="B9" s="6" t="s">
        <v>397</v>
      </c>
      <c r="C9" s="8" t="s">
        <v>75</v>
      </c>
      <c r="D9" s="6" t="s">
        <v>60</v>
      </c>
      <c r="E9" s="6" t="s">
        <v>26</v>
      </c>
      <c r="F9" s="38">
        <v>39.539508227934498</v>
      </c>
      <c r="G9" s="38">
        <v>-119.483385189104</v>
      </c>
      <c r="H9" s="12">
        <v>75</v>
      </c>
      <c r="I9" s="8" t="s">
        <v>61</v>
      </c>
      <c r="J9"/>
    </row>
    <row r="10" spans="1:10" x14ac:dyDescent="0.3">
      <c r="A10" s="24" t="s">
        <v>82</v>
      </c>
      <c r="B10" s="22" t="s">
        <v>397</v>
      </c>
      <c r="C10" s="24" t="s">
        <v>79</v>
      </c>
      <c r="D10" s="22" t="s">
        <v>80</v>
      </c>
      <c r="E10" s="22" t="s">
        <v>26</v>
      </c>
      <c r="F10" s="35">
        <v>36.865600999999998</v>
      </c>
      <c r="G10" s="35">
        <v>-87.488617000000005</v>
      </c>
      <c r="H10" s="27"/>
      <c r="I10" s="24"/>
      <c r="J10"/>
    </row>
    <row r="11" spans="1:10" x14ac:dyDescent="0.3">
      <c r="A11" s="8" t="s">
        <v>85</v>
      </c>
      <c r="B11" s="6" t="s">
        <v>396</v>
      </c>
      <c r="C11" s="8" t="s">
        <v>89</v>
      </c>
      <c r="D11" s="6" t="s">
        <v>90</v>
      </c>
      <c r="E11" s="6" t="s">
        <v>26</v>
      </c>
      <c r="F11" s="38">
        <v>35.465759107942802</v>
      </c>
      <c r="G11" s="38">
        <v>-97.693208512339496</v>
      </c>
      <c r="H11" s="12"/>
      <c r="I11" s="8"/>
      <c r="J11"/>
    </row>
    <row r="12" spans="1:10" x14ac:dyDescent="0.3">
      <c r="A12" s="8" t="s">
        <v>91</v>
      </c>
      <c r="B12" s="6" t="s">
        <v>397</v>
      </c>
      <c r="C12" s="8" t="s">
        <v>41</v>
      </c>
      <c r="D12" s="6" t="s">
        <v>42</v>
      </c>
      <c r="E12" s="6" t="s">
        <v>26</v>
      </c>
      <c r="F12" s="38">
        <v>29.585316065579399</v>
      </c>
      <c r="G12" s="38">
        <v>-95.444143061974003</v>
      </c>
      <c r="H12" s="12"/>
      <c r="I12" s="8"/>
      <c r="J12"/>
    </row>
    <row r="13" spans="1:10" ht="43.2" x14ac:dyDescent="0.3">
      <c r="A13" s="8" t="s">
        <v>95</v>
      </c>
      <c r="B13" s="6" t="s">
        <v>396</v>
      </c>
      <c r="C13" s="8" t="s">
        <v>98</v>
      </c>
      <c r="D13" s="6" t="s">
        <v>99</v>
      </c>
      <c r="E13" s="6" t="s">
        <v>26</v>
      </c>
      <c r="F13" s="38">
        <v>34.731621812618101</v>
      </c>
      <c r="G13" s="38">
        <v>-118.13617587550399</v>
      </c>
      <c r="H13" s="12">
        <v>17</v>
      </c>
      <c r="I13" s="8" t="s">
        <v>100</v>
      </c>
      <c r="J13"/>
    </row>
    <row r="14" spans="1:10" x14ac:dyDescent="0.3">
      <c r="A14" s="8" t="s">
        <v>101</v>
      </c>
      <c r="B14" s="6" t="s">
        <v>396</v>
      </c>
      <c r="C14" s="6" t="s">
        <v>104</v>
      </c>
      <c r="D14" s="6" t="s">
        <v>99</v>
      </c>
      <c r="E14" s="6" t="s">
        <v>26</v>
      </c>
      <c r="F14" s="38">
        <v>37.303227919593397</v>
      </c>
      <c r="G14" s="75">
        <v>-121.979267744175</v>
      </c>
      <c r="H14" s="12"/>
      <c r="I14" s="8"/>
      <c r="J14"/>
    </row>
    <row r="15" spans="1:10" x14ac:dyDescent="0.3">
      <c r="A15" s="7" t="s">
        <v>105</v>
      </c>
      <c r="B15" s="6" t="s">
        <v>397</v>
      </c>
      <c r="C15" s="8" t="s">
        <v>108</v>
      </c>
      <c r="D15" s="6" t="s">
        <v>99</v>
      </c>
      <c r="E15" s="6" t="s">
        <v>26</v>
      </c>
      <c r="F15" s="38">
        <v>38.672468377398197</v>
      </c>
      <c r="G15" s="38">
        <v>-121.41509570033</v>
      </c>
      <c r="H15" s="12"/>
      <c r="I15" s="8"/>
      <c r="J15"/>
    </row>
    <row r="16" spans="1:10" x14ac:dyDescent="0.3">
      <c r="A16" s="7" t="s">
        <v>109</v>
      </c>
      <c r="B16" s="6" t="s">
        <v>395</v>
      </c>
      <c r="C16" s="8" t="s">
        <v>113</v>
      </c>
      <c r="D16" s="6" t="s">
        <v>42</v>
      </c>
      <c r="E16" s="6" t="s">
        <v>26</v>
      </c>
      <c r="F16" s="38">
        <v>32.790160158264896</v>
      </c>
      <c r="G16" s="38">
        <v>-96.803498673196302</v>
      </c>
      <c r="H16" s="12"/>
      <c r="I16" s="8"/>
      <c r="J16"/>
    </row>
    <row r="17" spans="1:10" x14ac:dyDescent="0.3">
      <c r="A17" s="8" t="s">
        <v>115</v>
      </c>
      <c r="B17" s="6" t="s">
        <v>397</v>
      </c>
      <c r="C17" s="8" t="s">
        <v>120</v>
      </c>
      <c r="D17" s="6" t="s">
        <v>121</v>
      </c>
      <c r="E17" s="6" t="s">
        <v>26</v>
      </c>
      <c r="F17" s="38">
        <v>30.656690000000001</v>
      </c>
      <c r="G17" s="38">
        <v>-87.860029999999995</v>
      </c>
      <c r="H17" s="12"/>
      <c r="I17" s="8"/>
      <c r="J17"/>
    </row>
    <row r="18" spans="1:10" x14ac:dyDescent="0.3">
      <c r="A18" s="8" t="s">
        <v>126</v>
      </c>
      <c r="B18" s="6" t="s">
        <v>395</v>
      </c>
      <c r="C18" s="8" t="s">
        <v>128</v>
      </c>
      <c r="D18" s="6" t="s">
        <v>81</v>
      </c>
      <c r="E18" s="6" t="s">
        <v>26</v>
      </c>
      <c r="F18" s="38">
        <v>33.9022007212793</v>
      </c>
      <c r="G18" s="38">
        <v>-84.459543475760697</v>
      </c>
      <c r="H18" s="12">
        <v>3838</v>
      </c>
      <c r="I18" s="8" t="s">
        <v>61</v>
      </c>
      <c r="J18"/>
    </row>
    <row r="19" spans="1:10" x14ac:dyDescent="0.3">
      <c r="A19" s="8" t="s">
        <v>129</v>
      </c>
      <c r="B19" s="6" t="s">
        <v>395</v>
      </c>
      <c r="C19" s="8" t="s">
        <v>131</v>
      </c>
      <c r="D19" s="6" t="s">
        <v>132</v>
      </c>
      <c r="E19" s="6" t="s">
        <v>26</v>
      </c>
      <c r="F19" s="38">
        <v>43.768562290512797</v>
      </c>
      <c r="G19" s="38">
        <v>-79.413193575451004</v>
      </c>
      <c r="H19" s="12"/>
      <c r="I19" s="8"/>
      <c r="J19"/>
    </row>
    <row r="20" spans="1:10" x14ac:dyDescent="0.3">
      <c r="A20" s="8" t="s">
        <v>134</v>
      </c>
      <c r="B20" s="6" t="s">
        <v>395</v>
      </c>
      <c r="C20" s="8" t="s">
        <v>137</v>
      </c>
      <c r="D20" s="6" t="s">
        <v>80</v>
      </c>
      <c r="E20" s="6" t="s">
        <v>26</v>
      </c>
      <c r="F20" s="38">
        <v>39.037270244458703</v>
      </c>
      <c r="G20" s="38">
        <v>-84.534015677677999</v>
      </c>
      <c r="H20" s="12"/>
      <c r="I20" s="8"/>
      <c r="J20"/>
    </row>
    <row r="21" spans="1:10" x14ac:dyDescent="0.3">
      <c r="A21" s="8" t="s">
        <v>139</v>
      </c>
      <c r="B21" s="6" t="s">
        <v>397</v>
      </c>
      <c r="C21" s="8" t="s">
        <v>141</v>
      </c>
      <c r="D21" s="6" t="s">
        <v>66</v>
      </c>
      <c r="E21" s="6" t="s">
        <v>26</v>
      </c>
      <c r="F21" s="76">
        <v>34.016007000000002</v>
      </c>
      <c r="G21" s="38">
        <v>-81.017064000000005</v>
      </c>
      <c r="H21" s="12"/>
      <c r="I21" s="8"/>
      <c r="J21"/>
    </row>
    <row r="22" spans="1:10" x14ac:dyDescent="0.3">
      <c r="A22" s="8" t="s">
        <v>144</v>
      </c>
      <c r="B22" s="6" t="s">
        <v>395</v>
      </c>
      <c r="C22" s="8" t="s">
        <v>144</v>
      </c>
      <c r="D22" s="6" t="s">
        <v>146</v>
      </c>
      <c r="E22" s="6" t="s">
        <v>26</v>
      </c>
      <c r="F22" s="38">
        <v>42.525225338876403</v>
      </c>
      <c r="G22" s="38">
        <v>-83.565064118477594</v>
      </c>
      <c r="H22" s="12">
        <v>22680</v>
      </c>
      <c r="I22" s="8" t="s">
        <v>61</v>
      </c>
      <c r="J22"/>
    </row>
    <row r="23" spans="1:10" x14ac:dyDescent="0.3">
      <c r="A23" s="8" t="s">
        <v>147</v>
      </c>
      <c r="B23" s="6" t="s">
        <v>395</v>
      </c>
      <c r="C23" s="8" t="s">
        <v>147</v>
      </c>
      <c r="D23" s="6" t="s">
        <v>149</v>
      </c>
      <c r="E23" s="6" t="s">
        <v>26</v>
      </c>
      <c r="F23" s="38">
        <v>33.384092780152798</v>
      </c>
      <c r="G23" s="38">
        <v>-111.816832073686</v>
      </c>
      <c r="H23" s="12"/>
      <c r="I23" s="8"/>
      <c r="J23"/>
    </row>
    <row r="24" spans="1:10" x14ac:dyDescent="0.3">
      <c r="A24" s="8" t="s">
        <v>139</v>
      </c>
      <c r="B24" s="6" t="s">
        <v>397</v>
      </c>
      <c r="C24" s="8" t="s">
        <v>150</v>
      </c>
      <c r="D24" s="6" t="s">
        <v>149</v>
      </c>
      <c r="E24" s="6" t="s">
        <v>26</v>
      </c>
      <c r="F24" s="77">
        <v>32.759399999999999</v>
      </c>
      <c r="G24" s="76">
        <v>-111.612522</v>
      </c>
      <c r="H24" s="12"/>
      <c r="I24" s="8"/>
      <c r="J24"/>
    </row>
    <row r="25" spans="1:10" x14ac:dyDescent="0.3">
      <c r="A25" s="8" t="s">
        <v>151</v>
      </c>
      <c r="B25" s="6" t="s">
        <v>395</v>
      </c>
      <c r="C25" s="8" t="s">
        <v>142</v>
      </c>
      <c r="D25" s="6" t="s">
        <v>143</v>
      </c>
      <c r="E25" s="6" t="s">
        <v>26</v>
      </c>
      <c r="F25" s="38">
        <v>35.158216716489598</v>
      </c>
      <c r="G25" s="38">
        <v>-80.830627746100603</v>
      </c>
      <c r="H25" s="12"/>
      <c r="I25" s="8"/>
      <c r="J25"/>
    </row>
    <row r="26" spans="1:10" x14ac:dyDescent="0.3">
      <c r="A26" s="8" t="s">
        <v>153</v>
      </c>
      <c r="B26" s="6" t="s">
        <v>395</v>
      </c>
      <c r="C26" s="8" t="s">
        <v>155</v>
      </c>
      <c r="D26" s="6" t="s">
        <v>46</v>
      </c>
      <c r="E26" s="6" t="s">
        <v>26</v>
      </c>
      <c r="F26" s="38">
        <v>39.842530454816703</v>
      </c>
      <c r="G26" s="38">
        <v>-82.566701001721398</v>
      </c>
      <c r="H26" s="12"/>
      <c r="I26" s="8"/>
      <c r="J26"/>
    </row>
    <row r="27" spans="1:10" x14ac:dyDescent="0.3">
      <c r="A27" s="8" t="s">
        <v>156</v>
      </c>
      <c r="B27" s="6" t="s">
        <v>395</v>
      </c>
      <c r="C27" s="8" t="s">
        <v>158</v>
      </c>
      <c r="D27" s="6" t="s">
        <v>99</v>
      </c>
      <c r="E27" s="6" t="s">
        <v>26</v>
      </c>
      <c r="F27" s="38">
        <v>33.853340229804999</v>
      </c>
      <c r="G27" s="38">
        <v>-117.91777579998499</v>
      </c>
      <c r="H27" s="12"/>
      <c r="I27" s="8"/>
      <c r="J27"/>
    </row>
    <row r="28" spans="1:10" x14ac:dyDescent="0.3">
      <c r="A28" s="8" t="s">
        <v>161</v>
      </c>
      <c r="B28" s="6" t="s">
        <v>397</v>
      </c>
      <c r="C28" s="8" t="s">
        <v>164</v>
      </c>
      <c r="D28" s="6" t="s">
        <v>66</v>
      </c>
      <c r="E28" s="6" t="s">
        <v>26</v>
      </c>
      <c r="F28" s="38">
        <v>34.730730000000001</v>
      </c>
      <c r="G28" s="38">
        <f>-83.00575</f>
        <v>-83.005750000000006</v>
      </c>
      <c r="H28" s="12"/>
      <c r="I28" s="8"/>
      <c r="J28"/>
    </row>
    <row r="29" spans="1:10" x14ac:dyDescent="0.3">
      <c r="A29" s="6" t="s">
        <v>166</v>
      </c>
      <c r="B29" s="6" t="s">
        <v>397</v>
      </c>
      <c r="C29" s="8" t="s">
        <v>166</v>
      </c>
      <c r="D29" s="6" t="s">
        <v>170</v>
      </c>
      <c r="E29" s="6" t="s">
        <v>26</v>
      </c>
      <c r="F29" s="38">
        <v>28.094520276356501</v>
      </c>
      <c r="G29" s="38">
        <v>-80.698126073097498</v>
      </c>
      <c r="H29" s="12">
        <v>15</v>
      </c>
      <c r="I29" s="8" t="s">
        <v>61</v>
      </c>
      <c r="J29"/>
    </row>
    <row r="30" spans="1:10" x14ac:dyDescent="0.3">
      <c r="A30" s="8" t="s">
        <v>171</v>
      </c>
      <c r="B30" s="6" t="s">
        <v>397</v>
      </c>
      <c r="C30" s="8" t="s">
        <v>173</v>
      </c>
      <c r="D30" s="6" t="s">
        <v>32</v>
      </c>
      <c r="E30" s="6" t="s">
        <v>26</v>
      </c>
      <c r="F30" s="38">
        <v>40.567842729519597</v>
      </c>
      <c r="G30" s="38">
        <v>-75.479137301635703</v>
      </c>
      <c r="H30" s="12">
        <v>5000</v>
      </c>
      <c r="I30" s="8" t="s">
        <v>61</v>
      </c>
      <c r="J30"/>
    </row>
    <row r="31" spans="1:10" x14ac:dyDescent="0.3">
      <c r="A31" t="s">
        <v>175</v>
      </c>
      <c r="B31" s="70" t="s">
        <v>397</v>
      </c>
      <c r="C31" t="s">
        <v>178</v>
      </c>
      <c r="D31" s="6" t="s">
        <v>32</v>
      </c>
      <c r="E31" s="6" t="s">
        <v>26</v>
      </c>
      <c r="F31" s="38">
        <v>40.733310687596102</v>
      </c>
      <c r="G31" s="38">
        <v>-78.492432415745299</v>
      </c>
      <c r="H31">
        <v>20000</v>
      </c>
      <c r="I31" s="8" t="s">
        <v>61</v>
      </c>
      <c r="J31"/>
    </row>
    <row r="32" spans="1:10" ht="15.6" x14ac:dyDescent="0.3">
      <c r="A32" s="40" t="s">
        <v>181</v>
      </c>
      <c r="B32" s="71" t="s">
        <v>397</v>
      </c>
      <c r="C32" s="8" t="s">
        <v>89</v>
      </c>
      <c r="D32" s="6" t="s">
        <v>90</v>
      </c>
      <c r="E32" s="6" t="s">
        <v>26</v>
      </c>
      <c r="F32" s="38" t="s">
        <v>187</v>
      </c>
      <c r="G32" s="72" t="s">
        <v>188</v>
      </c>
      <c r="H32" s="41"/>
      <c r="I32" s="8"/>
      <c r="J32"/>
    </row>
    <row r="33" spans="1:10" x14ac:dyDescent="0.3">
      <c r="A33" t="s">
        <v>190</v>
      </c>
      <c r="B33" s="70" t="s">
        <v>397</v>
      </c>
      <c r="C33" s="8" t="s">
        <v>193</v>
      </c>
      <c r="D33" t="s">
        <v>25</v>
      </c>
      <c r="E33" s="6" t="s">
        <v>26</v>
      </c>
      <c r="F33" s="38">
        <v>42.362851496616798</v>
      </c>
      <c r="G33" s="38">
        <v>-73.593980630681102</v>
      </c>
      <c r="H33" s="12"/>
      <c r="I33" s="8"/>
      <c r="J33"/>
    </row>
    <row r="34" spans="1:10" x14ac:dyDescent="0.3">
      <c r="A34" s="7" t="s">
        <v>195</v>
      </c>
      <c r="B34" s="6" t="s">
        <v>396</v>
      </c>
      <c r="C34" s="7" t="s">
        <v>200</v>
      </c>
      <c r="D34" s="18" t="s">
        <v>99</v>
      </c>
      <c r="E34" s="18" t="s">
        <v>26</v>
      </c>
      <c r="F34" s="74">
        <v>38.568390000000001</v>
      </c>
      <c r="G34" s="74">
        <v>-121.2556</v>
      </c>
      <c r="H34" s="19"/>
      <c r="I34" s="20"/>
      <c r="J34"/>
    </row>
    <row r="35" spans="1:10" x14ac:dyDescent="0.3">
      <c r="A35" s="8" t="s">
        <v>202</v>
      </c>
      <c r="B35" s="6" t="s">
        <v>396</v>
      </c>
      <c r="C35" s="8" t="s">
        <v>204</v>
      </c>
      <c r="D35" s="6" t="s">
        <v>99</v>
      </c>
      <c r="E35" s="6" t="s">
        <v>26</v>
      </c>
      <c r="F35" s="38">
        <v>37.47</v>
      </c>
      <c r="G35" s="38">
        <v>-122.19</v>
      </c>
      <c r="H35" s="12" t="s">
        <v>206</v>
      </c>
      <c r="I35" s="8" t="s">
        <v>206</v>
      </c>
      <c r="J35"/>
    </row>
    <row r="36" spans="1:10" x14ac:dyDescent="0.3">
      <c r="A36" t="s">
        <v>208</v>
      </c>
      <c r="B36" s="70" t="s">
        <v>397</v>
      </c>
      <c r="C36" s="8" t="s">
        <v>208</v>
      </c>
      <c r="D36" s="6" t="s">
        <v>99</v>
      </c>
      <c r="E36" s="6" t="s">
        <v>26</v>
      </c>
      <c r="F36" s="38">
        <v>32.875449971898803</v>
      </c>
      <c r="G36" s="38">
        <v>-117.240929831206</v>
      </c>
      <c r="H36" s="45"/>
      <c r="I36" s="8"/>
      <c r="J36"/>
    </row>
    <row r="37" spans="1:10" x14ac:dyDescent="0.3">
      <c r="A37" s="8" t="s">
        <v>214</v>
      </c>
      <c r="B37" s="6" t="s">
        <v>395</v>
      </c>
      <c r="C37" s="7" t="s">
        <v>216</v>
      </c>
      <c r="D37" s="6" t="s">
        <v>146</v>
      </c>
      <c r="E37" s="6" t="s">
        <v>26</v>
      </c>
      <c r="F37" s="38">
        <v>42.775371100138599</v>
      </c>
      <c r="G37" s="38">
        <v>-86.125653649423995</v>
      </c>
      <c r="H37" s="12"/>
      <c r="I37" s="8"/>
      <c r="J37"/>
    </row>
    <row r="38" spans="1:10" x14ac:dyDescent="0.3">
      <c r="A38" s="8" t="s">
        <v>214</v>
      </c>
      <c r="B38" s="6" t="s">
        <v>396</v>
      </c>
      <c r="C38" s="7" t="s">
        <v>216</v>
      </c>
      <c r="D38" s="6" t="s">
        <v>146</v>
      </c>
      <c r="E38" s="6" t="s">
        <v>26</v>
      </c>
      <c r="F38" s="38">
        <v>42.775371100138599</v>
      </c>
      <c r="G38" s="38">
        <v>-86.125653649423995</v>
      </c>
      <c r="H38" s="12"/>
      <c r="I38" s="8"/>
      <c r="J38"/>
    </row>
    <row r="39" spans="1:10" x14ac:dyDescent="0.3">
      <c r="A39" s="8" t="s">
        <v>218</v>
      </c>
      <c r="B39" s="6" t="s">
        <v>395</v>
      </c>
      <c r="C39" s="8" t="s">
        <v>220</v>
      </c>
      <c r="D39" s="6" t="s">
        <v>221</v>
      </c>
      <c r="E39" s="6" t="s">
        <v>26</v>
      </c>
      <c r="F39" s="38">
        <v>43.567670442419399</v>
      </c>
      <c r="G39" s="38">
        <v>-88.905624857455905</v>
      </c>
      <c r="H39" s="12"/>
      <c r="I39" s="8"/>
      <c r="J39"/>
    </row>
    <row r="40" spans="1:10" ht="86.4" x14ac:dyDescent="0.3">
      <c r="A40" s="8" t="s">
        <v>223</v>
      </c>
      <c r="B40" s="6" t="s">
        <v>397</v>
      </c>
      <c r="C40" s="8" t="s">
        <v>225</v>
      </c>
      <c r="D40" s="6" t="s">
        <v>90</v>
      </c>
      <c r="E40" s="6" t="s">
        <v>26</v>
      </c>
      <c r="F40" s="38">
        <v>34.388122106774397</v>
      </c>
      <c r="G40" s="38">
        <v>-96.126598483683395</v>
      </c>
      <c r="H40" s="12">
        <v>1100</v>
      </c>
      <c r="I40" s="8" t="s">
        <v>226</v>
      </c>
      <c r="J40"/>
    </row>
    <row r="41" spans="1:10" x14ac:dyDescent="0.3">
      <c r="A41" t="s">
        <v>228</v>
      </c>
      <c r="B41" s="70" t="s">
        <v>396</v>
      </c>
      <c r="C41" s="8" t="s">
        <v>228</v>
      </c>
      <c r="D41" s="6" t="s">
        <v>149</v>
      </c>
      <c r="E41" s="6" t="s">
        <v>26</v>
      </c>
      <c r="F41" s="38">
        <v>33.4571044561063</v>
      </c>
      <c r="G41" s="38">
        <v>-112.090003653978</v>
      </c>
      <c r="H41">
        <v>1.5</v>
      </c>
      <c r="I41" s="8" t="s">
        <v>233</v>
      </c>
      <c r="J41"/>
    </row>
    <row r="42" spans="1:10" x14ac:dyDescent="0.3">
      <c r="A42" s="8" t="s">
        <v>234</v>
      </c>
      <c r="B42" s="6" t="s">
        <v>397</v>
      </c>
      <c r="C42" s="8" t="s">
        <v>236</v>
      </c>
      <c r="D42" s="6" t="s">
        <v>32</v>
      </c>
      <c r="E42" s="6" t="s">
        <v>26</v>
      </c>
      <c r="F42" s="38">
        <v>40.859399737039098</v>
      </c>
      <c r="G42" s="38">
        <v>-80.274877728835307</v>
      </c>
      <c r="H42" s="12">
        <v>10000</v>
      </c>
      <c r="I42" s="8" t="s">
        <v>61</v>
      </c>
      <c r="J42"/>
    </row>
    <row r="43" spans="1:10" x14ac:dyDescent="0.3">
      <c r="A43" s="8" t="s">
        <v>238</v>
      </c>
      <c r="B43" s="6" t="s">
        <v>395</v>
      </c>
      <c r="C43" s="8" t="s">
        <v>240</v>
      </c>
      <c r="D43" s="6" t="s">
        <v>241</v>
      </c>
      <c r="E43" s="6" t="s">
        <v>26</v>
      </c>
      <c r="F43" s="38">
        <v>36.179655200125303</v>
      </c>
      <c r="G43" s="38">
        <v>-86.289353358501501</v>
      </c>
      <c r="H43" s="12"/>
      <c r="I43" s="8"/>
      <c r="J43"/>
    </row>
    <row r="44" spans="1:10" x14ac:dyDescent="0.3">
      <c r="A44" s="8" t="s">
        <v>242</v>
      </c>
      <c r="B44" s="6" t="s">
        <v>397</v>
      </c>
      <c r="C44" s="8" t="s">
        <v>142</v>
      </c>
      <c r="D44" s="6" t="s">
        <v>143</v>
      </c>
      <c r="E44" s="6" t="s">
        <v>26</v>
      </c>
      <c r="F44" s="38">
        <v>35.2254814318052</v>
      </c>
      <c r="G44" s="38">
        <v>-80.841901610186198</v>
      </c>
      <c r="H44" s="12">
        <v>10000</v>
      </c>
      <c r="I44" s="8" t="s">
        <v>61</v>
      </c>
      <c r="J44"/>
    </row>
    <row r="45" spans="1:10" x14ac:dyDescent="0.3">
      <c r="A45" s="8" t="s">
        <v>242</v>
      </c>
      <c r="B45" s="6" t="s">
        <v>397</v>
      </c>
      <c r="C45" s="8" t="s">
        <v>244</v>
      </c>
      <c r="D45" s="6" t="s">
        <v>143</v>
      </c>
      <c r="E45" s="6" t="s">
        <v>26</v>
      </c>
      <c r="F45" s="38">
        <v>35.100919182900903</v>
      </c>
      <c r="G45" s="38">
        <v>-80.884326618604902</v>
      </c>
      <c r="H45" s="12">
        <v>500</v>
      </c>
      <c r="I45" s="8" t="s">
        <v>245</v>
      </c>
      <c r="J45"/>
    </row>
    <row r="46" spans="1:10" x14ac:dyDescent="0.3">
      <c r="A46" s="8" t="s">
        <v>248</v>
      </c>
      <c r="B46" s="6" t="s">
        <v>397</v>
      </c>
      <c r="C46" s="8" t="s">
        <v>249</v>
      </c>
      <c r="D46" s="6" t="s">
        <v>47</v>
      </c>
      <c r="E46" s="6" t="s">
        <v>26</v>
      </c>
      <c r="F46" s="46">
        <v>39.689503000000002</v>
      </c>
      <c r="G46" s="46">
        <v>-84.168823000000003</v>
      </c>
      <c r="H46" s="12"/>
      <c r="I46" s="8"/>
      <c r="J46"/>
    </row>
    <row r="47" spans="1:10" x14ac:dyDescent="0.3">
      <c r="A47" s="7" t="s">
        <v>251</v>
      </c>
      <c r="B47" s="6" t="s">
        <v>396</v>
      </c>
      <c r="C47" s="8" t="s">
        <v>251</v>
      </c>
      <c r="D47" s="6" t="s">
        <v>246</v>
      </c>
      <c r="E47" s="6" t="s">
        <v>26</v>
      </c>
      <c r="F47" s="38">
        <v>38.284119860456798</v>
      </c>
      <c r="G47" s="38">
        <v>-77.462160145851598</v>
      </c>
      <c r="H47" s="12"/>
      <c r="I47" s="8"/>
      <c r="J47"/>
    </row>
    <row r="48" spans="1:10" x14ac:dyDescent="0.3">
      <c r="A48" s="8" t="s">
        <v>254</v>
      </c>
      <c r="B48" s="6" t="s">
        <v>396</v>
      </c>
      <c r="C48" s="8" t="s">
        <v>251</v>
      </c>
      <c r="D48" s="6" t="s">
        <v>246</v>
      </c>
      <c r="E48" s="6" t="s">
        <v>26</v>
      </c>
      <c r="F48" s="38">
        <v>38.395200506467901</v>
      </c>
      <c r="G48" s="38">
        <v>-77.4326440476991</v>
      </c>
      <c r="H48" s="12"/>
      <c r="I48" s="8"/>
      <c r="J48"/>
    </row>
    <row r="49" spans="1:10" x14ac:dyDescent="0.3">
      <c r="A49" s="8" t="s">
        <v>256</v>
      </c>
      <c r="B49" s="6" t="s">
        <v>396</v>
      </c>
      <c r="C49" s="8" t="s">
        <v>258</v>
      </c>
      <c r="D49" s="6" t="s">
        <v>246</v>
      </c>
      <c r="E49" s="6" t="s">
        <v>26</v>
      </c>
      <c r="F49" s="38">
        <v>36.776257524805999</v>
      </c>
      <c r="G49" s="38">
        <v>-76.325088218931896</v>
      </c>
      <c r="H49" s="12"/>
      <c r="I49" s="8"/>
      <c r="J49"/>
    </row>
    <row r="50" spans="1:10" x14ac:dyDescent="0.3">
      <c r="A50" s="8" t="s">
        <v>260</v>
      </c>
      <c r="B50" s="6" t="s">
        <v>396</v>
      </c>
      <c r="C50" s="6"/>
      <c r="D50" s="6" t="s">
        <v>121</v>
      </c>
      <c r="E50" s="6" t="s">
        <v>26</v>
      </c>
      <c r="F50" s="49">
        <v>33.402234966450102</v>
      </c>
      <c r="G50" s="49">
        <v>-122.81972017263401</v>
      </c>
      <c r="H50" s="12"/>
      <c r="I50" s="8"/>
      <c r="J50"/>
    </row>
    <row r="51" spans="1:10" x14ac:dyDescent="0.3">
      <c r="A51" s="8" t="s">
        <v>262</v>
      </c>
      <c r="B51" s="6" t="s">
        <v>395</v>
      </c>
      <c r="C51" s="8" t="s">
        <v>265</v>
      </c>
      <c r="D51" s="6" t="s">
        <v>266</v>
      </c>
      <c r="E51" s="6" t="s">
        <v>26</v>
      </c>
      <c r="F51" s="38">
        <v>40.7592075315725</v>
      </c>
      <c r="G51" s="38">
        <v>-111.961390774964</v>
      </c>
      <c r="H51" s="12"/>
      <c r="I51" s="8"/>
      <c r="J51"/>
    </row>
    <row r="52" spans="1:10" x14ac:dyDescent="0.3">
      <c r="A52" s="8" t="s">
        <v>267</v>
      </c>
      <c r="B52" s="6" t="s">
        <v>395</v>
      </c>
      <c r="C52" s="8" t="s">
        <v>269</v>
      </c>
      <c r="D52" s="6" t="s">
        <v>123</v>
      </c>
      <c r="E52" s="6" t="s">
        <v>26</v>
      </c>
      <c r="F52" s="38">
        <v>39.824857305259798</v>
      </c>
      <c r="G52" s="38">
        <v>-105.03509990940501</v>
      </c>
      <c r="H52" s="12"/>
      <c r="I52" s="8"/>
      <c r="J52"/>
    </row>
    <row r="53" spans="1:10" x14ac:dyDescent="0.3">
      <c r="A53" s="7" t="s">
        <v>270</v>
      </c>
      <c r="B53" s="6" t="s">
        <v>396</v>
      </c>
      <c r="C53" s="8" t="s">
        <v>272</v>
      </c>
      <c r="D53" s="6" t="s">
        <v>146</v>
      </c>
      <c r="E53" s="6" t="s">
        <v>26</v>
      </c>
      <c r="F53" s="38">
        <v>43.256325754559597</v>
      </c>
      <c r="G53" s="38">
        <v>-86.2680567887504</v>
      </c>
      <c r="H53" s="12"/>
      <c r="I53" s="8"/>
      <c r="J53"/>
    </row>
    <row r="54" spans="1:10" x14ac:dyDescent="0.3">
      <c r="A54" s="13" t="s">
        <v>273</v>
      </c>
      <c r="B54" s="13" t="s">
        <v>397</v>
      </c>
      <c r="C54" s="13" t="s">
        <v>277</v>
      </c>
      <c r="D54" s="13" t="s">
        <v>47</v>
      </c>
      <c r="E54" s="6" t="s">
        <v>26</v>
      </c>
      <c r="F54" s="38">
        <v>39.3192116571011</v>
      </c>
      <c r="G54" s="38">
        <v>-84.477529191815506</v>
      </c>
      <c r="H54" s="11"/>
      <c r="I54" s="7"/>
      <c r="J54"/>
    </row>
    <row r="55" spans="1:10" x14ac:dyDescent="0.3">
      <c r="A55" s="30" t="s">
        <v>278</v>
      </c>
      <c r="B55" s="31" t="s">
        <v>397</v>
      </c>
      <c r="C55" s="30" t="s">
        <v>280</v>
      </c>
      <c r="D55" s="31" t="s">
        <v>47</v>
      </c>
      <c r="E55" s="31" t="s">
        <v>26</v>
      </c>
      <c r="F55" s="78">
        <v>40</v>
      </c>
      <c r="G55" s="78">
        <v>-82.81</v>
      </c>
      <c r="H55" s="34" t="s">
        <v>206</v>
      </c>
      <c r="I55" s="30" t="s">
        <v>206</v>
      </c>
      <c r="J55"/>
    </row>
    <row r="56" spans="1:10" x14ac:dyDescent="0.3">
      <c r="A56" s="8" t="s">
        <v>282</v>
      </c>
      <c r="B56" s="6" t="s">
        <v>396</v>
      </c>
      <c r="C56" s="8" t="s">
        <v>284</v>
      </c>
      <c r="D56" s="8" t="s">
        <v>99</v>
      </c>
      <c r="E56" s="8" t="s">
        <v>26</v>
      </c>
      <c r="F56" s="79">
        <v>34.062475529846203</v>
      </c>
      <c r="G56" s="79">
        <v>-118.335063733287</v>
      </c>
      <c r="H56" s="12"/>
      <c r="I56" s="8"/>
      <c r="J56"/>
    </row>
    <row r="57" spans="1:10" x14ac:dyDescent="0.3">
      <c r="A57" s="30" t="s">
        <v>285</v>
      </c>
      <c r="B57" s="31" t="s">
        <v>397</v>
      </c>
      <c r="C57" s="30" t="s">
        <v>287</v>
      </c>
      <c r="D57" s="31" t="s">
        <v>288</v>
      </c>
      <c r="E57" s="31" t="s">
        <v>26</v>
      </c>
      <c r="F57" s="78">
        <v>40.144100000000002</v>
      </c>
      <c r="G57" s="78">
        <v>-74.710300000000004</v>
      </c>
      <c r="H57" s="34"/>
      <c r="I57" s="30"/>
      <c r="J57"/>
    </row>
    <row r="58" spans="1:10" ht="28.8" x14ac:dyDescent="0.3">
      <c r="A58" s="8" t="s">
        <v>289</v>
      </c>
      <c r="B58" s="6" t="s">
        <v>397</v>
      </c>
      <c r="C58" s="8" t="s">
        <v>291</v>
      </c>
      <c r="D58" s="6" t="s">
        <v>42</v>
      </c>
      <c r="E58" s="6" t="s">
        <v>26</v>
      </c>
      <c r="F58" s="77">
        <v>33.173098000000003</v>
      </c>
      <c r="G58" s="77">
        <v>-96.607868999999994</v>
      </c>
      <c r="H58" s="12">
        <v>500</v>
      </c>
      <c r="I58" s="8" t="s">
        <v>201</v>
      </c>
      <c r="J58"/>
    </row>
    <row r="59" spans="1:10" x14ac:dyDescent="0.3">
      <c r="A59" s="8" t="s">
        <v>292</v>
      </c>
      <c r="B59" s="6" t="s">
        <v>397</v>
      </c>
      <c r="C59" s="8" t="s">
        <v>294</v>
      </c>
      <c r="D59" s="6" t="s">
        <v>295</v>
      </c>
      <c r="E59" s="6" t="s">
        <v>26</v>
      </c>
      <c r="F59" s="38">
        <v>45.513269999999999</v>
      </c>
      <c r="G59" s="38">
        <v>-122.67771999999999</v>
      </c>
      <c r="H59" s="12"/>
      <c r="I59" s="8"/>
      <c r="J59"/>
    </row>
    <row r="60" spans="1:10" x14ac:dyDescent="0.3">
      <c r="A60" s="7" t="s">
        <v>296</v>
      </c>
      <c r="B60" s="6" t="s">
        <v>397</v>
      </c>
      <c r="C60" s="8" t="s">
        <v>298</v>
      </c>
      <c r="D60" s="6" t="s">
        <v>46</v>
      </c>
      <c r="E60" s="6" t="s">
        <v>26</v>
      </c>
      <c r="F60" s="79">
        <v>41.071359421310497</v>
      </c>
      <c r="G60" s="79">
        <v>-81.500703511458298</v>
      </c>
      <c r="H60" s="12"/>
      <c r="I60" s="8"/>
      <c r="J60"/>
    </row>
    <row r="61" spans="1:10" x14ac:dyDescent="0.3">
      <c r="A61" s="47" t="s">
        <v>299</v>
      </c>
      <c r="B61" s="51" t="s">
        <v>395</v>
      </c>
      <c r="C61" s="47" t="s">
        <v>303</v>
      </c>
      <c r="D61" s="51" t="s">
        <v>123</v>
      </c>
      <c r="E61" s="51" t="s">
        <v>26</v>
      </c>
      <c r="F61" s="80">
        <v>38.862507736661101</v>
      </c>
      <c r="G61" s="80">
        <v>-104.824386832732</v>
      </c>
      <c r="H61" s="56"/>
      <c r="I61" s="47"/>
      <c r="J61"/>
    </row>
    <row r="62" spans="1:10" ht="57.6" x14ac:dyDescent="0.3">
      <c r="A62" s="8" t="s">
        <v>305</v>
      </c>
      <c r="B62" s="6" t="s">
        <v>397</v>
      </c>
      <c r="C62" s="8" t="s">
        <v>75</v>
      </c>
      <c r="D62" s="6" t="s">
        <v>60</v>
      </c>
      <c r="E62" s="6" t="s">
        <v>26</v>
      </c>
      <c r="F62" s="38">
        <v>39.494671102178401</v>
      </c>
      <c r="G62" s="38">
        <v>-119.447446517356</v>
      </c>
      <c r="H62" s="12">
        <v>100000</v>
      </c>
      <c r="I62" s="8" t="s">
        <v>307</v>
      </c>
      <c r="J62"/>
    </row>
    <row r="63" spans="1:10" ht="72" x14ac:dyDescent="0.3">
      <c r="A63" s="8" t="s">
        <v>308</v>
      </c>
      <c r="B63" s="6" t="s">
        <v>397</v>
      </c>
      <c r="C63" s="8" t="s">
        <v>75</v>
      </c>
      <c r="D63" s="6" t="s">
        <v>60</v>
      </c>
      <c r="E63" s="6" t="s">
        <v>26</v>
      </c>
      <c r="F63" s="38">
        <v>39.494671102178401</v>
      </c>
      <c r="G63" s="38">
        <v>-119.447446517356</v>
      </c>
      <c r="H63" s="12">
        <v>36000</v>
      </c>
      <c r="I63" s="8" t="s">
        <v>311</v>
      </c>
      <c r="J63"/>
    </row>
    <row r="64" spans="1:10" ht="28.8" x14ac:dyDescent="0.3">
      <c r="A64" s="8" t="s">
        <v>312</v>
      </c>
      <c r="B64" s="6" t="s">
        <v>397</v>
      </c>
      <c r="C64" s="8" t="s">
        <v>71</v>
      </c>
      <c r="D64" s="6" t="s">
        <v>60</v>
      </c>
      <c r="E64" s="6" t="s">
        <v>26</v>
      </c>
      <c r="F64" s="38">
        <v>39.441489577275</v>
      </c>
      <c r="G64" s="38">
        <v>-119.764174087014</v>
      </c>
      <c r="H64" s="12">
        <v>40</v>
      </c>
      <c r="I64" s="8" t="s">
        <v>314</v>
      </c>
      <c r="J64"/>
    </row>
    <row r="65" spans="1:10" ht="72" x14ac:dyDescent="0.3">
      <c r="A65" s="8" t="s">
        <v>315</v>
      </c>
      <c r="B65" s="6" t="s">
        <v>397</v>
      </c>
      <c r="C65" s="8" t="s">
        <v>317</v>
      </c>
      <c r="D65" s="6" t="s">
        <v>66</v>
      </c>
      <c r="E65" s="6" t="s">
        <v>26</v>
      </c>
      <c r="F65" s="38">
        <v>33.132441977815802</v>
      </c>
      <c r="G65" s="38">
        <v>-80.2669172329486</v>
      </c>
      <c r="H65" s="12">
        <v>100</v>
      </c>
      <c r="I65" s="8" t="s">
        <v>318</v>
      </c>
      <c r="J65"/>
    </row>
    <row r="66" spans="1:10" ht="72" x14ac:dyDescent="0.3">
      <c r="A66" s="8" t="s">
        <v>315</v>
      </c>
      <c r="B66" s="6" t="s">
        <v>397</v>
      </c>
      <c r="C66" s="8" t="s">
        <v>317</v>
      </c>
      <c r="D66" s="6" t="s">
        <v>66</v>
      </c>
      <c r="E66" s="6" t="s">
        <v>26</v>
      </c>
      <c r="F66" s="38">
        <v>33.132441977815802</v>
      </c>
      <c r="G66" s="38">
        <v>-80.2669172329486</v>
      </c>
      <c r="H66" s="12">
        <v>100</v>
      </c>
      <c r="I66" s="8" t="s">
        <v>318</v>
      </c>
      <c r="J66"/>
    </row>
    <row r="67" spans="1:10" x14ac:dyDescent="0.3">
      <c r="A67" s="8" t="s">
        <v>304</v>
      </c>
      <c r="B67" s="6" t="s">
        <v>397</v>
      </c>
      <c r="C67" s="8" t="s">
        <v>319</v>
      </c>
      <c r="D67" s="6" t="s">
        <v>60</v>
      </c>
      <c r="E67" s="6" t="s">
        <v>26</v>
      </c>
      <c r="F67" s="38">
        <v>39.163990785812601</v>
      </c>
      <c r="G67" s="38">
        <v>-119.73994901642899</v>
      </c>
      <c r="H67" s="12"/>
      <c r="I67" s="8"/>
      <c r="J67"/>
    </row>
    <row r="68" spans="1:10" ht="28.8" x14ac:dyDescent="0.3">
      <c r="A68" s="14" t="s">
        <v>324</v>
      </c>
      <c r="B68" s="72" t="s">
        <v>397</v>
      </c>
      <c r="C68" t="s">
        <v>329</v>
      </c>
      <c r="D68" s="6" t="s">
        <v>330</v>
      </c>
      <c r="E68" s="6" t="s">
        <v>26</v>
      </c>
      <c r="F68" s="38">
        <v>40.039953737362403</v>
      </c>
      <c r="G68" s="38">
        <v>-86.001787130681095</v>
      </c>
      <c r="H68">
        <v>5</v>
      </c>
      <c r="I68" s="8" t="s">
        <v>61</v>
      </c>
      <c r="J68"/>
    </row>
    <row r="69" spans="1:10" x14ac:dyDescent="0.3">
      <c r="A69" s="8" t="s">
        <v>332</v>
      </c>
      <c r="B69" s="6" t="s">
        <v>396</v>
      </c>
      <c r="C69" s="6" t="s">
        <v>335</v>
      </c>
      <c r="D69" s="6" t="s">
        <v>99</v>
      </c>
      <c r="E69" s="6" t="s">
        <v>26</v>
      </c>
      <c r="F69" s="38">
        <v>33.809784735461101</v>
      </c>
      <c r="G69" s="38">
        <v>-118.173982588786</v>
      </c>
      <c r="H69" s="12"/>
      <c r="I69" s="8"/>
      <c r="J69"/>
    </row>
    <row r="70" spans="1:10" x14ac:dyDescent="0.3">
      <c r="A70" s="8" t="s">
        <v>336</v>
      </c>
      <c r="B70" s="6" t="s">
        <v>396</v>
      </c>
      <c r="C70" s="8" t="s">
        <v>340</v>
      </c>
      <c r="D70" s="6" t="s">
        <v>99</v>
      </c>
      <c r="E70" s="6" t="s">
        <v>26</v>
      </c>
      <c r="F70" s="38">
        <v>37.539650000000002</v>
      </c>
      <c r="G70" s="38">
        <v>-122.00366</v>
      </c>
      <c r="H70" s="12"/>
      <c r="I70" s="8"/>
      <c r="J70"/>
    </row>
    <row r="71" spans="1:10" x14ac:dyDescent="0.3">
      <c r="A71" s="8" t="s">
        <v>341</v>
      </c>
      <c r="B71" s="6" t="s">
        <v>397</v>
      </c>
      <c r="C71" s="8" t="s">
        <v>346</v>
      </c>
      <c r="D71" s="6" t="s">
        <v>78</v>
      </c>
      <c r="E71" s="6" t="s">
        <v>26</v>
      </c>
      <c r="F71" s="38">
        <v>41.77393</v>
      </c>
      <c r="G71" s="38">
        <v>-70.702110000000005</v>
      </c>
      <c r="H71" s="12"/>
      <c r="I71" s="8"/>
      <c r="J71"/>
    </row>
    <row r="72" spans="1:10" x14ac:dyDescent="0.3">
      <c r="A72" s="8" t="s">
        <v>347</v>
      </c>
      <c r="B72" s="6" t="s">
        <v>396</v>
      </c>
      <c r="C72" s="8" t="s">
        <v>350</v>
      </c>
      <c r="D72" s="6" t="s">
        <v>42</v>
      </c>
      <c r="E72" s="6" t="s">
        <v>26</v>
      </c>
      <c r="F72" s="38">
        <v>29.649463999999998</v>
      </c>
      <c r="G72" s="38">
        <v>-95.599621999999997</v>
      </c>
      <c r="H72" s="12"/>
      <c r="I72" s="8"/>
      <c r="J72"/>
    </row>
    <row r="73" spans="1:10" x14ac:dyDescent="0.3">
      <c r="A73" s="7" t="s">
        <v>351</v>
      </c>
      <c r="B73" s="6" t="s">
        <v>395</v>
      </c>
      <c r="C73" s="6" t="s">
        <v>208</v>
      </c>
      <c r="D73" s="6" t="s">
        <v>99</v>
      </c>
      <c r="E73" s="6" t="s">
        <v>26</v>
      </c>
      <c r="F73" s="38">
        <v>32.882881048155397</v>
      </c>
      <c r="G73" s="38">
        <v>-117.17123420293601</v>
      </c>
      <c r="H73" s="12"/>
      <c r="I73" s="8"/>
      <c r="J73"/>
    </row>
    <row r="74" spans="1:10" x14ac:dyDescent="0.3">
      <c r="A74" s="6" t="s">
        <v>354</v>
      </c>
      <c r="B74" s="6" t="s">
        <v>396</v>
      </c>
      <c r="C74" s="8" t="s">
        <v>357</v>
      </c>
      <c r="D74" s="6" t="s">
        <v>99</v>
      </c>
      <c r="E74" s="6" t="s">
        <v>26</v>
      </c>
      <c r="F74" s="38">
        <v>33.133495010881198</v>
      </c>
      <c r="G74" s="38">
        <v>-117.2802068602</v>
      </c>
      <c r="H74" s="8"/>
      <c r="I74" s="61"/>
      <c r="J74"/>
    </row>
    <row r="75" spans="1:10" x14ac:dyDescent="0.3">
      <c r="A75" s="8" t="s">
        <v>359</v>
      </c>
      <c r="B75" s="6" t="s">
        <v>396</v>
      </c>
      <c r="C75" s="8" t="s">
        <v>89</v>
      </c>
      <c r="D75" s="6" t="s">
        <v>90</v>
      </c>
      <c r="E75" s="6" t="s">
        <v>26</v>
      </c>
      <c r="F75" s="38">
        <v>35.376927563295197</v>
      </c>
      <c r="G75" s="38">
        <v>-97.542724362354505</v>
      </c>
      <c r="H75" s="12"/>
      <c r="I75" s="8"/>
      <c r="J75"/>
    </row>
    <row r="76" spans="1:10" x14ac:dyDescent="0.3">
      <c r="A76" s="8" t="s">
        <v>361</v>
      </c>
      <c r="B76" s="6" t="s">
        <v>397</v>
      </c>
      <c r="C76" s="8" t="s">
        <v>363</v>
      </c>
      <c r="D76" s="6" t="s">
        <v>81</v>
      </c>
      <c r="E76" s="6" t="s">
        <v>26</v>
      </c>
      <c r="F76" s="38">
        <v>34.579379118476702</v>
      </c>
      <c r="G76" s="38">
        <v>-83.330474673916896</v>
      </c>
      <c r="H76" s="12"/>
      <c r="I76" s="8"/>
      <c r="J76"/>
    </row>
    <row r="77" spans="1:10" x14ac:dyDescent="0.3">
      <c r="A77" s="7" t="s">
        <v>364</v>
      </c>
      <c r="B77" s="6" t="s">
        <v>396</v>
      </c>
      <c r="C77" s="8" t="s">
        <v>216</v>
      </c>
      <c r="D77" s="6" t="s">
        <v>146</v>
      </c>
      <c r="E77" s="6" t="s">
        <v>26</v>
      </c>
      <c r="F77" s="38">
        <v>42.775492032651101</v>
      </c>
      <c r="G77" s="38">
        <v>-86.126541304109907</v>
      </c>
      <c r="H77" s="12"/>
      <c r="I77" s="8"/>
      <c r="J77"/>
    </row>
    <row r="78" spans="1:10" x14ac:dyDescent="0.3">
      <c r="A78" s="8" t="s">
        <v>367</v>
      </c>
      <c r="B78" s="6" t="s">
        <v>397</v>
      </c>
      <c r="C78" s="8" t="s">
        <v>370</v>
      </c>
      <c r="D78" s="6" t="s">
        <v>143</v>
      </c>
      <c r="E78" s="6" t="s">
        <v>26</v>
      </c>
      <c r="F78" s="38">
        <v>35.829244541798403</v>
      </c>
      <c r="G78" s="38">
        <v>-78.665475075706297</v>
      </c>
      <c r="H78" s="12"/>
      <c r="I78" s="8"/>
      <c r="J78"/>
    </row>
    <row r="79" spans="1:10" x14ac:dyDescent="0.3">
      <c r="A79" s="8" t="s">
        <v>372</v>
      </c>
      <c r="C79" s="8" t="s">
        <v>213</v>
      </c>
      <c r="D79" s="6" t="s">
        <v>99</v>
      </c>
      <c r="E79" s="6" t="s">
        <v>26</v>
      </c>
      <c r="F79" s="38">
        <v>34.056759999999997</v>
      </c>
      <c r="G79" s="38">
        <v>-117.68832999999999</v>
      </c>
      <c r="H79" s="12"/>
      <c r="I79" s="8"/>
      <c r="J79"/>
    </row>
    <row r="80" spans="1:10" x14ac:dyDescent="0.3">
      <c r="A80" s="8" t="s">
        <v>377</v>
      </c>
      <c r="B80" s="6" t="s">
        <v>397</v>
      </c>
      <c r="C80" s="8" t="s">
        <v>228</v>
      </c>
      <c r="D80" s="6" t="s">
        <v>149</v>
      </c>
      <c r="E80" s="6" t="s">
        <v>26</v>
      </c>
      <c r="F80" s="38">
        <v>33.446742462752198</v>
      </c>
      <c r="G80" s="38">
        <v>-112.184743858578</v>
      </c>
      <c r="H80" s="12"/>
      <c r="I80" s="8"/>
      <c r="J80"/>
    </row>
    <row r="81" spans="1:10" x14ac:dyDescent="0.3">
      <c r="A81" s="8" t="s">
        <v>379</v>
      </c>
      <c r="B81" s="6" t="s">
        <v>397</v>
      </c>
      <c r="C81" s="8" t="s">
        <v>381</v>
      </c>
      <c r="D81" s="6" t="s">
        <v>170</v>
      </c>
      <c r="E81" s="6" t="s">
        <v>26</v>
      </c>
      <c r="F81" s="38">
        <v>30.3643280532206</v>
      </c>
      <c r="G81" s="38">
        <v>-84.268821372150398</v>
      </c>
      <c r="H81" s="12"/>
      <c r="I81" s="8"/>
      <c r="J81"/>
    </row>
    <row r="82" spans="1:10" ht="28.8" x14ac:dyDescent="0.3">
      <c r="A82" s="8" t="s">
        <v>382</v>
      </c>
      <c r="B82" s="6" t="s">
        <v>397</v>
      </c>
      <c r="C82" s="8" t="s">
        <v>384</v>
      </c>
      <c r="D82" s="6" t="s">
        <v>78</v>
      </c>
      <c r="E82" s="6" t="s">
        <v>26</v>
      </c>
      <c r="F82" s="79">
        <v>42.009238861723198</v>
      </c>
      <c r="G82" s="79">
        <v>-71.044783860168195</v>
      </c>
      <c r="H82" s="12"/>
      <c r="I82" s="8"/>
      <c r="J82"/>
    </row>
    <row r="83" spans="1:10" ht="28.8" x14ac:dyDescent="0.3">
      <c r="A83" s="8" t="s">
        <v>386</v>
      </c>
      <c r="B83" s="6" t="s">
        <v>397</v>
      </c>
      <c r="C83" s="8" t="s">
        <v>388</v>
      </c>
      <c r="D83" s="6" t="s">
        <v>221</v>
      </c>
      <c r="E83" s="6" t="s">
        <v>26</v>
      </c>
      <c r="F83" s="38">
        <v>43.371766962174597</v>
      </c>
      <c r="G83" s="38">
        <v>-87.888637473613798</v>
      </c>
      <c r="H83" s="12"/>
      <c r="I83" s="8"/>
      <c r="J83"/>
    </row>
    <row r="84" spans="1:10" x14ac:dyDescent="0.3">
      <c r="A84" s="8" t="s">
        <v>376</v>
      </c>
      <c r="B84" s="6" t="s">
        <v>395</v>
      </c>
      <c r="C84" s="8" t="s">
        <v>393</v>
      </c>
      <c r="D84" s="6" t="s">
        <v>78</v>
      </c>
      <c r="E84" s="6" t="s">
        <v>26</v>
      </c>
      <c r="F84" s="38">
        <v>42.358930000000001</v>
      </c>
      <c r="G84" s="38">
        <v>-71.056319999999999</v>
      </c>
      <c r="H84" s="12"/>
      <c r="I84" s="8"/>
      <c r="J84"/>
    </row>
    <row r="85" spans="1:10" x14ac:dyDescent="0.3">
      <c r="A85" s="6" t="s">
        <v>394</v>
      </c>
      <c r="B85" s="6" t="s">
        <v>395</v>
      </c>
      <c r="C85" s="8" t="s">
        <v>24</v>
      </c>
      <c r="D85" s="6" t="s">
        <v>25</v>
      </c>
      <c r="E85" s="6" t="s">
        <v>26</v>
      </c>
      <c r="F85" s="38">
        <v>42.901737138978099</v>
      </c>
      <c r="G85" s="38">
        <v>-79.820416046156197</v>
      </c>
      <c r="H85" s="12"/>
      <c r="I85" s="8"/>
      <c r="J85"/>
    </row>
    <row r="86" spans="1:10" x14ac:dyDescent="0.3">
      <c r="D86" s="6"/>
      <c r="E86" s="6"/>
      <c r="F86" s="10"/>
      <c r="G86" s="38"/>
      <c r="H86" s="63"/>
      <c r="J86"/>
    </row>
    <row r="87" spans="1:10" x14ac:dyDescent="0.3">
      <c r="D87" s="6"/>
      <c r="E87" s="6"/>
      <c r="F87" s="10"/>
      <c r="G87" s="38"/>
      <c r="H87" s="63"/>
      <c r="J87" s="64"/>
    </row>
    <row r="88" spans="1:10" x14ac:dyDescent="0.3">
      <c r="D88" s="6"/>
      <c r="E88" s="6"/>
      <c r="F88" s="10"/>
      <c r="G88" s="38"/>
      <c r="H88" s="63"/>
      <c r="J88" s="64"/>
    </row>
    <row r="89" spans="1:10" x14ac:dyDescent="0.3">
      <c r="D89" s="6"/>
      <c r="E89" s="6"/>
      <c r="F89" s="10"/>
      <c r="G89" s="38"/>
      <c r="H89" s="63"/>
      <c r="J89" s="64"/>
    </row>
    <row r="90" spans="1:10" x14ac:dyDescent="0.3">
      <c r="D90" s="6"/>
      <c r="E90" s="6"/>
      <c r="F90" s="10"/>
      <c r="G90" s="38"/>
      <c r="H90" s="63"/>
      <c r="J90" s="64"/>
    </row>
    <row r="91" spans="1:10" x14ac:dyDescent="0.3">
      <c r="D91" s="6"/>
      <c r="E91" s="6"/>
      <c r="F91" s="10"/>
      <c r="G91" s="38"/>
      <c r="H91" s="63"/>
      <c r="J91" s="64"/>
    </row>
    <row r="92" spans="1:10" x14ac:dyDescent="0.3">
      <c r="D92" s="6"/>
      <c r="E92" s="6"/>
      <c r="F92" s="10"/>
      <c r="G92" s="38"/>
      <c r="H92" s="63"/>
      <c r="J92" s="64"/>
    </row>
    <row r="93" spans="1:10" x14ac:dyDescent="0.3">
      <c r="D93" s="6"/>
      <c r="E93" s="6"/>
      <c r="F93" s="10"/>
      <c r="G93" s="38"/>
      <c r="H93" s="63"/>
      <c r="J93" s="64"/>
    </row>
    <row r="94" spans="1:10" x14ac:dyDescent="0.3">
      <c r="D94" s="6"/>
      <c r="E94" s="6"/>
      <c r="F94" s="10"/>
      <c r="G94" s="38"/>
      <c r="H94" s="63"/>
      <c r="J94" s="64"/>
    </row>
    <row r="95" spans="1:10" x14ac:dyDescent="0.3">
      <c r="D95" s="6"/>
      <c r="E95" s="6"/>
      <c r="F95" s="10"/>
      <c r="G95" s="38"/>
      <c r="H95" s="63"/>
      <c r="J95" s="64"/>
    </row>
    <row r="96" spans="1:10" x14ac:dyDescent="0.3">
      <c r="D96" s="6"/>
      <c r="E96" s="6"/>
      <c r="F96" s="10"/>
      <c r="G96" s="38"/>
      <c r="H96" s="63"/>
      <c r="J96" s="64"/>
    </row>
    <row r="97" spans="4:10" x14ac:dyDescent="0.3">
      <c r="D97" s="6"/>
      <c r="E97" s="6"/>
      <c r="F97" s="10"/>
      <c r="G97" s="38"/>
      <c r="H97" s="63"/>
      <c r="J97" s="64"/>
    </row>
    <row r="98" spans="4:10" x14ac:dyDescent="0.3">
      <c r="D98" s="6"/>
      <c r="E98" s="6"/>
      <c r="F98" s="10"/>
      <c r="G98" s="38"/>
      <c r="H98" s="63"/>
      <c r="J98" s="64"/>
    </row>
    <row r="99" spans="4:10" x14ac:dyDescent="0.3">
      <c r="D99" s="6"/>
      <c r="E99" s="6"/>
      <c r="F99" s="10"/>
      <c r="G99" s="38"/>
      <c r="H99" s="63"/>
      <c r="J99" s="64"/>
    </row>
    <row r="100" spans="4:10" x14ac:dyDescent="0.3">
      <c r="D100" s="6"/>
      <c r="E100" s="6"/>
      <c r="F100" s="10"/>
      <c r="G100" s="38"/>
      <c r="H100" s="63"/>
      <c r="J100" s="64"/>
    </row>
    <row r="101" spans="4:10" x14ac:dyDescent="0.3">
      <c r="D101" s="6"/>
      <c r="E101" s="6"/>
      <c r="F101" s="10"/>
      <c r="G101" s="38"/>
      <c r="H101" s="63"/>
      <c r="J101" s="64"/>
    </row>
    <row r="102" spans="4:10" x14ac:dyDescent="0.3">
      <c r="D102" s="6"/>
      <c r="E102" s="6"/>
      <c r="F102" s="10"/>
      <c r="G102" s="38"/>
      <c r="H102" s="63"/>
      <c r="J102" s="64"/>
    </row>
    <row r="103" spans="4:10" x14ac:dyDescent="0.3">
      <c r="D103" s="6"/>
      <c r="E103" s="6"/>
      <c r="F103" s="10"/>
      <c r="G103" s="38"/>
      <c r="H103" s="63"/>
      <c r="J103" s="64"/>
    </row>
    <row r="104" spans="4:10" x14ac:dyDescent="0.3">
      <c r="D104" s="6"/>
      <c r="E104" s="6"/>
      <c r="F104" s="10"/>
      <c r="G104" s="38"/>
      <c r="H104" s="63"/>
      <c r="J104" s="64"/>
    </row>
    <row r="105" spans="4:10" x14ac:dyDescent="0.3">
      <c r="D105" s="6"/>
      <c r="E105" s="6"/>
      <c r="F105" s="10"/>
      <c r="G105" s="38"/>
      <c r="H105" s="63"/>
      <c r="J105" s="64"/>
    </row>
    <row r="106" spans="4:10" x14ac:dyDescent="0.3">
      <c r="D106" s="6"/>
      <c r="E106" s="6"/>
      <c r="F106" s="10"/>
      <c r="G106" s="38"/>
      <c r="H106" s="63"/>
      <c r="J106" s="64"/>
    </row>
    <row r="107" spans="4:10" x14ac:dyDescent="0.3">
      <c r="D107" s="6"/>
      <c r="E107" s="6"/>
      <c r="F107" s="10"/>
      <c r="G107" s="38"/>
      <c r="H107" s="63"/>
      <c r="J107" s="64"/>
    </row>
    <row r="108" spans="4:10" x14ac:dyDescent="0.3">
      <c r="D108" s="6"/>
      <c r="E108" s="6"/>
      <c r="F108" s="10"/>
      <c r="G108" s="38"/>
      <c r="H108" s="63"/>
      <c r="J108" s="64"/>
    </row>
    <row r="109" spans="4:10" x14ac:dyDescent="0.3">
      <c r="D109" s="6"/>
      <c r="E109" s="6"/>
      <c r="F109" s="10"/>
      <c r="G109" s="38"/>
      <c r="H109" s="63"/>
      <c r="J109" s="64"/>
    </row>
    <row r="110" spans="4:10" x14ac:dyDescent="0.3">
      <c r="D110" s="6"/>
      <c r="E110" s="6"/>
      <c r="F110" s="10"/>
      <c r="G110" s="38"/>
      <c r="H110" s="63"/>
      <c r="J110" s="64"/>
    </row>
    <row r="111" spans="4:10" x14ac:dyDescent="0.3">
      <c r="D111" s="6"/>
      <c r="E111" s="6"/>
      <c r="F111" s="10"/>
      <c r="G111" s="38"/>
      <c r="H111" s="63"/>
      <c r="J111" s="64"/>
    </row>
    <row r="112" spans="4:10" x14ac:dyDescent="0.3">
      <c r="D112" s="6"/>
      <c r="E112" s="6"/>
      <c r="F112" s="10"/>
      <c r="G112" s="38"/>
      <c r="H112" s="63"/>
      <c r="J112" s="64"/>
    </row>
    <row r="113" spans="4:10" x14ac:dyDescent="0.3">
      <c r="D113" s="6"/>
      <c r="E113" s="6"/>
      <c r="F113" s="10"/>
      <c r="G113" s="38"/>
      <c r="H113" s="63"/>
      <c r="J113" s="64"/>
    </row>
    <row r="114" spans="4:10" x14ac:dyDescent="0.3">
      <c r="D114" s="6"/>
      <c r="E114" s="6"/>
      <c r="F114" s="10"/>
      <c r="G114" s="38"/>
      <c r="H114" s="63"/>
      <c r="J114" s="64"/>
    </row>
    <row r="115" spans="4:10" x14ac:dyDescent="0.3">
      <c r="D115" s="6"/>
      <c r="E115" s="6"/>
      <c r="F115" s="10"/>
      <c r="G115" s="38"/>
      <c r="H115" s="63"/>
      <c r="J115" s="64"/>
    </row>
    <row r="116" spans="4:10" x14ac:dyDescent="0.3">
      <c r="D116" s="6"/>
      <c r="E116" s="6"/>
      <c r="F116" s="10"/>
      <c r="G116" s="38"/>
      <c r="H116" s="63"/>
      <c r="J116" s="64"/>
    </row>
    <row r="117" spans="4:10" x14ac:dyDescent="0.3">
      <c r="D117" s="6"/>
      <c r="E117" s="6"/>
      <c r="F117" s="10"/>
      <c r="G117" s="38"/>
      <c r="H117" s="63"/>
      <c r="J117" s="64"/>
    </row>
    <row r="118" spans="4:10" x14ac:dyDescent="0.3">
      <c r="D118" s="6"/>
      <c r="E118" s="6"/>
      <c r="F118" s="10"/>
      <c r="G118" s="38"/>
      <c r="H118" s="63"/>
      <c r="J118" s="64"/>
    </row>
    <row r="119" spans="4:10" x14ac:dyDescent="0.3">
      <c r="D119" s="6"/>
      <c r="E119" s="6"/>
      <c r="F119" s="10"/>
      <c r="G119" s="38"/>
      <c r="H119" s="63"/>
      <c r="J119" s="64"/>
    </row>
    <row r="120" spans="4:10" x14ac:dyDescent="0.3">
      <c r="D120" s="6"/>
      <c r="E120" s="6"/>
      <c r="F120" s="10"/>
      <c r="G120" s="38"/>
      <c r="H120" s="63"/>
      <c r="J120" s="64"/>
    </row>
    <row r="121" spans="4:10" x14ac:dyDescent="0.3">
      <c r="D121" s="6"/>
      <c r="E121" s="6"/>
      <c r="F121" s="10"/>
      <c r="G121" s="38"/>
      <c r="H121" s="63"/>
      <c r="J121" s="64"/>
    </row>
    <row r="122" spans="4:10" x14ac:dyDescent="0.3">
      <c r="D122" s="6"/>
      <c r="E122" s="6"/>
      <c r="F122" s="10"/>
      <c r="G122" s="38"/>
      <c r="H122" s="63"/>
      <c r="J122" s="64"/>
    </row>
    <row r="123" spans="4:10" x14ac:dyDescent="0.3">
      <c r="D123" s="6"/>
      <c r="E123" s="6"/>
      <c r="F123" s="10"/>
      <c r="G123" s="38"/>
      <c r="H123" s="63"/>
      <c r="J123" s="64"/>
    </row>
    <row r="124" spans="4:10" x14ac:dyDescent="0.3">
      <c r="D124" s="6"/>
      <c r="E124" s="6"/>
      <c r="F124" s="10"/>
      <c r="G124" s="38"/>
      <c r="H124" s="63"/>
      <c r="J124" s="64"/>
    </row>
    <row r="125" spans="4:10" x14ac:dyDescent="0.3">
      <c r="D125" s="6"/>
      <c r="E125" s="6"/>
      <c r="F125" s="10"/>
      <c r="G125" s="38"/>
      <c r="H125" s="63"/>
      <c r="J125" s="64"/>
    </row>
    <row r="126" spans="4:10" x14ac:dyDescent="0.3">
      <c r="D126" s="6"/>
      <c r="E126" s="6"/>
      <c r="F126" s="10"/>
      <c r="G126" s="38"/>
      <c r="H126" s="63"/>
      <c r="J126" s="64"/>
    </row>
    <row r="127" spans="4:10" x14ac:dyDescent="0.3">
      <c r="D127" s="6"/>
      <c r="E127" s="6"/>
      <c r="F127" s="10"/>
      <c r="G127" s="38"/>
      <c r="H127" s="63"/>
      <c r="J127" s="64"/>
    </row>
    <row r="128" spans="4:10" x14ac:dyDescent="0.3">
      <c r="D128" s="6"/>
      <c r="E128" s="6"/>
      <c r="F128" s="10"/>
      <c r="G128" s="38"/>
      <c r="H128" s="63"/>
      <c r="J128" s="64"/>
    </row>
    <row r="129" spans="4:10" x14ac:dyDescent="0.3">
      <c r="D129" s="6"/>
      <c r="E129" s="6"/>
      <c r="F129" s="10"/>
      <c r="G129" s="38"/>
      <c r="H129" s="63"/>
      <c r="J129" s="64"/>
    </row>
    <row r="130" spans="4:10" x14ac:dyDescent="0.3">
      <c r="D130" s="6"/>
      <c r="E130" s="6"/>
      <c r="F130" s="10"/>
      <c r="G130" s="38"/>
      <c r="H130" s="63"/>
      <c r="J130" s="64"/>
    </row>
    <row r="131" spans="4:10" x14ac:dyDescent="0.3">
      <c r="D131" s="6"/>
      <c r="E131" s="6"/>
      <c r="F131" s="10"/>
      <c r="G131" s="38"/>
      <c r="H131" s="63"/>
      <c r="J131" s="64"/>
    </row>
    <row r="132" spans="4:10" x14ac:dyDescent="0.3">
      <c r="D132" s="6"/>
      <c r="E132" s="6"/>
      <c r="F132" s="10"/>
      <c r="G132" s="38"/>
      <c r="H132" s="63"/>
      <c r="J132" s="64"/>
    </row>
    <row r="133" spans="4:10" x14ac:dyDescent="0.3">
      <c r="D133" s="6"/>
      <c r="E133" s="6"/>
      <c r="F133" s="10"/>
      <c r="G133" s="38"/>
      <c r="H133" s="63"/>
      <c r="J133" s="64"/>
    </row>
    <row r="134" spans="4:10" x14ac:dyDescent="0.3">
      <c r="J134" s="64"/>
    </row>
  </sheetData>
  <conditionalFormatting sqref="G2:G5 G7:G68 G72 G74:G82 H83:H84 G85">
    <cfRule type="cellIs" dxfId="0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 Venkataraman Srinivas</dc:creator>
  <cp:lastModifiedBy>Andrew Marc Bremond</cp:lastModifiedBy>
  <dcterms:created xsi:type="dcterms:W3CDTF">2025-02-17T17:13:49Z</dcterms:created>
  <dcterms:modified xsi:type="dcterms:W3CDTF">2025-08-06T16:24:20Z</dcterms:modified>
</cp:coreProperties>
</file>